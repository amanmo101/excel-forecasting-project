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codeName="ThisWorkbook"/>
  <mc:AlternateContent xmlns:mc="http://schemas.openxmlformats.org/markup-compatibility/2006">
    <mc:Choice Requires="x15">
      <x15ac:absPath xmlns:x15ac="http://schemas.microsoft.com/office/spreadsheetml/2010/11/ac" url="/Users/mohammadaman/Downloads/Resume and Job Stuff/tech resume/"/>
    </mc:Choice>
  </mc:AlternateContent>
  <xr:revisionPtr revIDLastSave="0" documentId="8_{A6F2F5AB-5027-EE45-B799-2FCB6E3F54DE}" xr6:coauthVersionLast="47" xr6:coauthVersionMax="47" xr10:uidLastSave="{00000000-0000-0000-0000-000000000000}"/>
  <bookViews>
    <workbookView xWindow="0" yWindow="500" windowWidth="28800" windowHeight="16400" xr2:uid="{00000000-000D-0000-FFFF-FFFF00000000}"/>
  </bookViews>
  <sheets>
    <sheet name="BUDGET" sheetId="1" r:id="rId1"/>
    <sheet name="TREND CHART" sheetId="8" r:id="rId2"/>
    <sheet name="DISTRIBUTION" sheetId="9" r:id="rId3"/>
    <sheet name="SOLVER" sheetId="11" r:id="rId4"/>
    <sheet name="SALES" sheetId="4" r:id="rId5"/>
    <sheet name="PIVOT TABLE" sheetId="7" r:id="rId6"/>
    <sheet name="GROUP ASSIGNMENTS" sheetId="2" r:id="rId7"/>
  </sheets>
  <definedNames>
    <definedName name="ASSUMPT">'GROUP ASSIGNMENTS'!$A$3:$G$32</definedName>
    <definedName name="_xlnm.Print_Area" localSheetId="0">BUDGET!$A$3:$F$35</definedName>
    <definedName name="_xlnm.Print_Area" localSheetId="1">'TREND CHART'!$A$1:$N$33</definedName>
    <definedName name="solver_adj" localSheetId="0" hidden="1">BUDGET!#REF!</definedName>
    <definedName name="solver_cvg" localSheetId="0" hidden="1">0.0001</definedName>
    <definedName name="solver_cvg" localSheetId="3" hidden="1">0.0001</definedName>
    <definedName name="solver_drv" localSheetId="0" hidden="1">1</definedName>
    <definedName name="solver_drv" localSheetId="3" hidden="1">1</definedName>
    <definedName name="solver_eng" localSheetId="0" hidden="1">1</definedName>
    <definedName name="solver_eng" localSheetId="3" hidden="1">1</definedName>
    <definedName name="solver_est" localSheetId="0" hidden="1">1</definedName>
    <definedName name="solver_est" localSheetId="3" hidden="1">1</definedName>
    <definedName name="solver_itr" localSheetId="0" hidden="1">2147483647</definedName>
    <definedName name="solver_itr" localSheetId="3" hidden="1">2147483647</definedName>
    <definedName name="solver_lhs1" localSheetId="3" hidden="1">SOLVER!$B$27:$B$32</definedName>
    <definedName name="solver_lin" localSheetId="3" hidden="1">2</definedName>
    <definedName name="solver_mip" localSheetId="0" hidden="1">2147483647</definedName>
    <definedName name="solver_mip" localSheetId="3" hidden="1">2147483647</definedName>
    <definedName name="solver_mni" localSheetId="0" hidden="1">30</definedName>
    <definedName name="solver_mni" localSheetId="3" hidden="1">30</definedName>
    <definedName name="solver_mrt" localSheetId="0" hidden="1">0.075</definedName>
    <definedName name="solver_mrt" localSheetId="3" hidden="1">0.075</definedName>
    <definedName name="solver_msl" localSheetId="0" hidden="1">2</definedName>
    <definedName name="solver_msl" localSheetId="3" hidden="1">2</definedName>
    <definedName name="solver_neg" localSheetId="0" hidden="1">1</definedName>
    <definedName name="solver_neg" localSheetId="3" hidden="1">1</definedName>
    <definedName name="solver_nod" localSheetId="0" hidden="1">2147483647</definedName>
    <definedName name="solver_nod" localSheetId="3" hidden="1">2147483647</definedName>
    <definedName name="solver_num" localSheetId="0" hidden="1">0</definedName>
    <definedName name="solver_num" localSheetId="3" hidden="1">0</definedName>
    <definedName name="solver_nwt" localSheetId="0" hidden="1">1</definedName>
    <definedName name="solver_nwt" localSheetId="3" hidden="1">1</definedName>
    <definedName name="solver_opt" localSheetId="0" hidden="1">BUDGET!#REF!</definedName>
    <definedName name="solver_opt" localSheetId="3" hidden="1">SOLVER!$F$30</definedName>
    <definedName name="solver_pre" localSheetId="0" hidden="1">0.000001</definedName>
    <definedName name="solver_pre" localSheetId="3" hidden="1">0.000001</definedName>
    <definedName name="solver_rbv" localSheetId="0" hidden="1">1</definedName>
    <definedName name="solver_rbv" localSheetId="3" hidden="1">1</definedName>
    <definedName name="solver_rel1" localSheetId="3" hidden="1">1</definedName>
    <definedName name="solver_rhs1" localSheetId="3" hidden="1">100</definedName>
    <definedName name="solver_rlx" localSheetId="0" hidden="1">2</definedName>
    <definedName name="solver_rlx" localSheetId="3" hidden="1">2</definedName>
    <definedName name="solver_rsd" localSheetId="0" hidden="1">0</definedName>
    <definedName name="solver_rsd" localSheetId="3" hidden="1">0</definedName>
    <definedName name="solver_scl" localSheetId="0" hidden="1">1</definedName>
    <definedName name="solver_scl" localSheetId="3" hidden="1">1</definedName>
    <definedName name="solver_sho" localSheetId="0" hidden="1">2</definedName>
    <definedName name="solver_sho" localSheetId="3" hidden="1">2</definedName>
    <definedName name="solver_ssz" localSheetId="0" hidden="1">100</definedName>
    <definedName name="solver_ssz" localSheetId="3" hidden="1">100</definedName>
    <definedName name="solver_tim" localSheetId="0" hidden="1">2147483647</definedName>
    <definedName name="solver_tim" localSheetId="3" hidden="1">2147483647</definedName>
    <definedName name="solver_tol" localSheetId="0" hidden="1">0.01</definedName>
    <definedName name="solver_tol" localSheetId="3" hidden="1">0.01</definedName>
    <definedName name="solver_typ" localSheetId="0" hidden="1">3</definedName>
    <definedName name="solver_typ" localSheetId="3" hidden="1">3</definedName>
    <definedName name="solver_val" localSheetId="0" hidden="1">BUDGET!D30</definedName>
    <definedName name="solver_val" localSheetId="3" hidden="1">256.39</definedName>
    <definedName name="solver_ver" localSheetId="0" hidden="1">3</definedName>
    <definedName name="solver_ver" localSheetId="3" hidden="1">2</definedName>
  </definedNames>
  <calcPr calcId="191029" calcMode="manual"/>
  <pivotCaches>
    <pivotCache cacheId="4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9" i="1" l="1"/>
  <c r="D33" i="11"/>
  <c r="C15" i="11"/>
  <c r="D15" i="11" s="1"/>
  <c r="E15" i="11" s="1"/>
  <c r="F15" i="11" s="1"/>
  <c r="C14" i="11"/>
  <c r="D14" i="11" s="1"/>
  <c r="E14" i="11" s="1"/>
  <c r="F14" i="11" s="1"/>
  <c r="C13" i="11"/>
  <c r="D13" i="11" s="1"/>
  <c r="E13" i="11" s="1"/>
  <c r="F13" i="11" s="1"/>
  <c r="C6" i="11"/>
  <c r="D6" i="11" s="1"/>
  <c r="E6" i="11" s="1"/>
  <c r="F6" i="11" s="1"/>
  <c r="C5" i="11"/>
  <c r="D5" i="11" s="1"/>
  <c r="E5" i="11" s="1"/>
  <c r="F5" i="11" s="1"/>
  <c r="C4" i="11"/>
  <c r="D4" i="11" s="1"/>
  <c r="F20" i="1"/>
  <c r="B16" i="11"/>
  <c r="B7" i="11"/>
  <c r="B18" i="11" s="1"/>
  <c r="E20" i="1"/>
  <c r="C15" i="1"/>
  <c r="D15" i="1" s="1"/>
  <c r="E15" i="1" s="1"/>
  <c r="F15" i="1" s="1"/>
  <c r="C14" i="1"/>
  <c r="D14" i="1" s="1"/>
  <c r="E14" i="1" s="1"/>
  <c r="F14" i="1" s="1"/>
  <c r="C13" i="1"/>
  <c r="D13" i="1" s="1"/>
  <c r="E13" i="1" s="1"/>
  <c r="F13" i="1" s="1"/>
  <c r="C6" i="1"/>
  <c r="D6" i="1" s="1"/>
  <c r="E6" i="1" s="1"/>
  <c r="F6" i="1" s="1"/>
  <c r="C5" i="1"/>
  <c r="D5" i="1" s="1"/>
  <c r="E5" i="1" s="1"/>
  <c r="F5" i="1" s="1"/>
  <c r="C4" i="1"/>
  <c r="C7" i="1" s="1"/>
  <c r="B27" i="1"/>
  <c r="B18" i="1"/>
  <c r="B16" i="1"/>
  <c r="B7" i="1"/>
  <c r="B33" i="1"/>
  <c r="B32" i="1"/>
  <c r="B31" i="1"/>
  <c r="B30" i="1"/>
  <c r="B28" i="1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G3" i="4"/>
  <c r="G2" i="4"/>
  <c r="D7" i="11" l="1"/>
  <c r="E4" i="11"/>
  <c r="C7" i="11"/>
  <c r="C12" i="1"/>
  <c r="C10" i="1"/>
  <c r="C16" i="1" s="1"/>
  <c r="C18" i="1" s="1"/>
  <c r="C20" i="1" s="1"/>
  <c r="D4" i="1"/>
  <c r="C12" i="11" l="1"/>
  <c r="C10" i="11"/>
  <c r="C16" i="11" s="1"/>
  <c r="C18" i="11" s="1"/>
  <c r="C20" i="11" s="1"/>
  <c r="F4" i="11"/>
  <c r="F7" i="11" s="1"/>
  <c r="E7" i="11"/>
  <c r="D12" i="11"/>
  <c r="D10" i="11"/>
  <c r="D16" i="11" s="1"/>
  <c r="D18" i="11"/>
  <c r="D20" i="11" s="1"/>
  <c r="E4" i="1"/>
  <c r="D7" i="1"/>
  <c r="E10" i="11" l="1"/>
  <c r="E12" i="11"/>
  <c r="F10" i="11"/>
  <c r="F12" i="11"/>
  <c r="D12" i="1"/>
  <c r="D10" i="1"/>
  <c r="D16" i="1" s="1"/>
  <c r="D18" i="1" s="1"/>
  <c r="D20" i="1" s="1"/>
  <c r="E7" i="1"/>
  <c r="F4" i="1"/>
  <c r="F7" i="1" s="1"/>
  <c r="F16" i="11" l="1"/>
  <c r="F18" i="11" s="1"/>
  <c r="F20" i="11" s="1"/>
  <c r="E16" i="11"/>
  <c r="E18" i="11" s="1"/>
  <c r="E20" i="11" s="1"/>
  <c r="E10" i="1"/>
  <c r="E12" i="1"/>
  <c r="F12" i="1"/>
  <c r="F10" i="1"/>
  <c r="F16" i="1" s="1"/>
  <c r="F18" i="1" s="1"/>
  <c r="E16" i="1" l="1"/>
  <c r="E18" i="1" s="1"/>
</calcChain>
</file>

<file path=xl/sharedStrings.xml><?xml version="1.0" encoding="utf-8"?>
<sst xmlns="http://schemas.openxmlformats.org/spreadsheetml/2006/main" count="269" uniqueCount="76">
  <si>
    <t>Group</t>
  </si>
  <si>
    <t xml:space="preserve"> Wedding Invitations</t>
  </si>
  <si>
    <t xml:space="preserve"> Birthday Party Invitations</t>
  </si>
  <si>
    <t xml:space="preserve"> Business Party Invitations</t>
  </si>
  <si>
    <t>Advertising</t>
  </si>
  <si>
    <t>Legal Fees</t>
  </si>
  <si>
    <t xml:space="preserve"> Shipping</t>
  </si>
  <si>
    <t>Deceember
Goal Increase</t>
  </si>
  <si>
    <t>#</t>
  </si>
  <si>
    <t>A</t>
  </si>
  <si>
    <t>B</t>
  </si>
  <si>
    <t>C</t>
  </si>
  <si>
    <t>D</t>
  </si>
  <si>
    <t>E</t>
  </si>
  <si>
    <t>F</t>
  </si>
  <si>
    <t>G</t>
  </si>
  <si>
    <t>Order
Date</t>
  </si>
  <si>
    <t>Region</t>
  </si>
  <si>
    <t>Representative</t>
  </si>
  <si>
    <t>Invitation 
type</t>
  </si>
  <si>
    <t>Units
(100)</t>
  </si>
  <si>
    <t>Unit
Cost</t>
  </si>
  <si>
    <t>Total</t>
  </si>
  <si>
    <t>East</t>
  </si>
  <si>
    <t>Jones</t>
  </si>
  <si>
    <t>Birthday</t>
  </si>
  <si>
    <t>Central</t>
  </si>
  <si>
    <t>Kivell</t>
  </si>
  <si>
    <t>Business</t>
  </si>
  <si>
    <t>Jardine</t>
  </si>
  <si>
    <t>Gill</t>
  </si>
  <si>
    <t>Wedding</t>
  </si>
  <si>
    <t>West</t>
  </si>
  <si>
    <t>Sorvino</t>
  </si>
  <si>
    <t>Andrews</t>
  </si>
  <si>
    <t>Thompson</t>
  </si>
  <si>
    <t>Morgan</t>
  </si>
  <si>
    <t>Howard</t>
  </si>
  <si>
    <t>Parent</t>
  </si>
  <si>
    <t>Smith</t>
  </si>
  <si>
    <t>Graduation</t>
  </si>
  <si>
    <t>Revenue</t>
  </si>
  <si>
    <t>August</t>
  </si>
  <si>
    <t>September</t>
  </si>
  <si>
    <t>October</t>
  </si>
  <si>
    <t>November</t>
  </si>
  <si>
    <t>December</t>
  </si>
  <si>
    <t>Wedding Invitations</t>
  </si>
  <si>
    <t>Birthday Party Invitations</t>
  </si>
  <si>
    <t>Business Party Invitations</t>
  </si>
  <si>
    <t>Total Sales Revenue</t>
  </si>
  <si>
    <t>Expenses</t>
  </si>
  <si>
    <t>Printing Costs</t>
  </si>
  <si>
    <t>Salaries</t>
  </si>
  <si>
    <t>Administration</t>
  </si>
  <si>
    <t>Shipping</t>
  </si>
  <si>
    <t>Total Expenses</t>
  </si>
  <si>
    <t>Net Income before Taxes</t>
  </si>
  <si>
    <t>Taxes</t>
  </si>
  <si>
    <t>Net Profit (loss)</t>
  </si>
  <si>
    <t>Projected Growth Per Month</t>
  </si>
  <si>
    <t>%</t>
  </si>
  <si>
    <t>December Increase Goal</t>
  </si>
  <si>
    <t>Column Labels</t>
  </si>
  <si>
    <t>Grand Total</t>
  </si>
  <si>
    <t>Total Sum of Total</t>
  </si>
  <si>
    <t>Sum of Total</t>
  </si>
  <si>
    <t>Row Labels</t>
  </si>
  <si>
    <t>Total Count of Units
(100)</t>
  </si>
  <si>
    <t>Count of Units
(100)</t>
  </si>
  <si>
    <t>2020</t>
  </si>
  <si>
    <t>2021</t>
  </si>
  <si>
    <t>SOLVER</t>
  </si>
  <si>
    <t>GOAL</t>
  </si>
  <si>
    <t>Manipulated Projected Growth Per Month</t>
  </si>
  <si>
    <t>Actual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</si>
</sst>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mm/dd/yy;@"/>
    <numFmt numFmtId="165" formatCode="_(* #,##0_);_(* \(#,##0\);_(* &quot;-&quot;??_);_(@_)"/>
    <numFmt numFmtId="166" formatCode="0.00000000000"/>
  </numFmts>
  <fonts count="13" x14ac:knownFonts="1">
    <font>
      <sz val="11"/>
      <color theme="1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rgb="FFC00000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b/>
      <sz val="12"/>
      <color rgb="FFFF000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sz val="13"/>
      <color theme="1"/>
      <name val="Arial"/>
      <family val="2"/>
    </font>
    <font>
      <sz val="14"/>
      <color rgb="FF7030A0"/>
      <name val="Arial"/>
      <family val="2"/>
    </font>
    <font>
      <b/>
      <sz val="14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37">
    <border>
      <left/>
      <right/>
      <top/>
      <bottom/>
      <diagonal/>
    </border>
    <border>
      <left style="medium">
        <color auto="1"/>
      </left>
      <right style="thin">
        <color rgb="FF002060"/>
      </right>
      <top style="medium">
        <color auto="1"/>
      </top>
      <bottom style="medium">
        <color rgb="FF002060"/>
      </bottom>
      <diagonal/>
    </border>
    <border>
      <left style="thin">
        <color rgb="FF002060"/>
      </left>
      <right style="thin">
        <color rgb="FF002060"/>
      </right>
      <top style="medium">
        <color auto="1"/>
      </top>
      <bottom style="medium">
        <color rgb="FF002060"/>
      </bottom>
      <diagonal/>
    </border>
    <border>
      <left style="thin">
        <color rgb="FF002060"/>
      </left>
      <right style="medium">
        <color auto="1"/>
      </right>
      <top style="medium">
        <color auto="1"/>
      </top>
      <bottom style="medium">
        <color rgb="FF002060"/>
      </bottom>
      <diagonal/>
    </border>
    <border>
      <left style="medium">
        <color auto="1"/>
      </left>
      <right style="thin">
        <color rgb="FF002060"/>
      </right>
      <top/>
      <bottom style="thin">
        <color rgb="FF002060"/>
      </bottom>
      <diagonal/>
    </border>
    <border>
      <left style="thin">
        <color rgb="FF002060"/>
      </left>
      <right style="thin">
        <color rgb="FF002060"/>
      </right>
      <top/>
      <bottom style="thin">
        <color rgb="FF002060"/>
      </bottom>
      <diagonal/>
    </border>
    <border>
      <left style="thin">
        <color rgb="FF002060"/>
      </left>
      <right style="medium">
        <color auto="1"/>
      </right>
      <top/>
      <bottom style="thin">
        <color rgb="FF002060"/>
      </bottom>
      <diagonal/>
    </border>
    <border>
      <left style="medium">
        <color auto="1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medium">
        <color auto="1"/>
      </left>
      <right style="thin">
        <color rgb="FF002060"/>
      </right>
      <top style="thin">
        <color rgb="FF002060"/>
      </top>
      <bottom style="medium">
        <color auto="1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medium">
        <color auto="1"/>
      </bottom>
      <diagonal/>
    </border>
    <border>
      <left style="thin">
        <color rgb="FF002060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</borders>
  <cellStyleXfs count="3">
    <xf numFmtId="0" fontId="0" fillId="0" borderId="0"/>
    <xf numFmtId="43" fontId="8" fillId="0" borderId="0" applyFont="0" applyFill="0" applyBorder="0" applyAlignment="0" applyProtection="0"/>
    <xf numFmtId="9" fontId="7" fillId="0" borderId="0" applyFont="0" applyFill="0" applyBorder="0" applyAlignment="0" applyProtection="0">
      <alignment vertical="center"/>
    </xf>
  </cellStyleXfs>
  <cellXfs count="70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right" wrapText="1"/>
    </xf>
    <xf numFmtId="0" fontId="3" fillId="2" borderId="2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right" wrapText="1"/>
    </xf>
    <xf numFmtId="0" fontId="3" fillId="2" borderId="3" xfId="0" applyFont="1" applyFill="1" applyBorder="1" applyAlignment="1">
      <alignment horizontal="right" wrapText="1"/>
    </xf>
    <xf numFmtId="164" fontId="4" fillId="2" borderId="4" xfId="0" applyNumberFormat="1" applyFont="1" applyFill="1" applyBorder="1" applyAlignment="1">
      <alignment horizontal="right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right" vertical="center" wrapText="1"/>
    </xf>
    <xf numFmtId="165" fontId="4" fillId="2" borderId="6" xfId="1" applyNumberFormat="1" applyFont="1" applyFill="1" applyBorder="1" applyAlignment="1">
      <alignment horizontal="right" vertical="center" wrapText="1"/>
    </xf>
    <xf numFmtId="164" fontId="4" fillId="2" borderId="7" xfId="0" applyNumberFormat="1" applyFont="1" applyFill="1" applyBorder="1" applyAlignment="1">
      <alignment horizontal="right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right" vertical="center" wrapText="1"/>
    </xf>
    <xf numFmtId="164" fontId="4" fillId="2" borderId="9" xfId="0" applyNumberFormat="1" applyFont="1" applyFill="1" applyBorder="1" applyAlignment="1">
      <alignment horizontal="right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right" vertical="center" wrapText="1"/>
    </xf>
    <xf numFmtId="165" fontId="4" fillId="2" borderId="11" xfId="1" applyNumberFormat="1" applyFont="1" applyFill="1" applyBorder="1" applyAlignment="1">
      <alignment horizontal="right" vertical="center" wrapText="1"/>
    </xf>
    <xf numFmtId="0" fontId="5" fillId="0" borderId="0" xfId="0" applyFont="1"/>
    <xf numFmtId="0" fontId="5" fillId="0" borderId="12" xfId="0" applyFont="1" applyBorder="1" applyAlignment="1">
      <alignment horizontal="center" textRotation="90"/>
    </xf>
    <xf numFmtId="0" fontId="5" fillId="0" borderId="13" xfId="0" applyFont="1" applyBorder="1" applyAlignment="1">
      <alignment horizontal="left" textRotation="90" wrapText="1"/>
    </xf>
    <xf numFmtId="0" fontId="5" fillId="0" borderId="14" xfId="0" applyFont="1" applyBorder="1" applyAlignment="1">
      <alignment horizontal="left" textRotation="90" wrapText="1"/>
    </xf>
    <xf numFmtId="0" fontId="5" fillId="0" borderId="15" xfId="0" applyFont="1" applyBorder="1" applyAlignment="1">
      <alignment horizontal="left" textRotation="90" wrapText="1"/>
    </xf>
    <xf numFmtId="0" fontId="6" fillId="0" borderId="16" xfId="0" applyFont="1" applyBorder="1" applyAlignment="1">
      <alignment horizontal="center"/>
    </xf>
    <xf numFmtId="0" fontId="6" fillId="0" borderId="17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5" fillId="0" borderId="20" xfId="0" applyFont="1" applyBorder="1"/>
    <xf numFmtId="2" fontId="5" fillId="0" borderId="21" xfId="0" applyNumberFormat="1" applyFont="1" applyBorder="1"/>
    <xf numFmtId="2" fontId="5" fillId="0" borderId="22" xfId="0" applyNumberFormat="1" applyFont="1" applyBorder="1"/>
    <xf numFmtId="2" fontId="5" fillId="0" borderId="23" xfId="0" applyNumberFormat="1" applyFont="1" applyBorder="1"/>
    <xf numFmtId="0" fontId="5" fillId="0" borderId="24" xfId="0" applyFont="1" applyBorder="1"/>
    <xf numFmtId="2" fontId="5" fillId="0" borderId="25" xfId="0" applyNumberFormat="1" applyFont="1" applyBorder="1"/>
    <xf numFmtId="2" fontId="5" fillId="0" borderId="26" xfId="0" applyNumberFormat="1" applyFont="1" applyBorder="1"/>
    <xf numFmtId="2" fontId="5" fillId="0" borderId="27" xfId="0" applyNumberFormat="1" applyFont="1" applyBorder="1"/>
    <xf numFmtId="0" fontId="5" fillId="0" borderId="28" xfId="0" applyFont="1" applyBorder="1"/>
    <xf numFmtId="2" fontId="5" fillId="0" borderId="29" xfId="0" applyNumberFormat="1" applyFont="1" applyBorder="1"/>
    <xf numFmtId="2" fontId="5" fillId="0" borderId="30" xfId="0" applyNumberFormat="1" applyFont="1" applyBorder="1"/>
    <xf numFmtId="2" fontId="5" fillId="0" borderId="31" xfId="0" applyNumberFormat="1" applyFont="1" applyBorder="1"/>
    <xf numFmtId="2" fontId="5" fillId="0" borderId="0" xfId="0" applyNumberFormat="1" applyFont="1"/>
    <xf numFmtId="0" fontId="7" fillId="0" borderId="0" xfId="0" applyFont="1"/>
    <xf numFmtId="0" fontId="9" fillId="0" borderId="32" xfId="0" applyFont="1" applyBorder="1"/>
    <xf numFmtId="0" fontId="2" fillId="0" borderId="32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/>
    </xf>
    <xf numFmtId="0" fontId="9" fillId="0" borderId="26" xfId="0" applyFont="1" applyBorder="1"/>
    <xf numFmtId="3" fontId="9" fillId="0" borderId="26" xfId="0" applyNumberFormat="1" applyFont="1" applyBorder="1"/>
    <xf numFmtId="0" fontId="11" fillId="0" borderId="26" xfId="0" applyFont="1" applyBorder="1"/>
    <xf numFmtId="0" fontId="1" fillId="0" borderId="26" xfId="0" applyFont="1" applyBorder="1"/>
    <xf numFmtId="0" fontId="1" fillId="0" borderId="26" xfId="0" pivotButton="1" applyFont="1" applyBorder="1"/>
    <xf numFmtId="37" fontId="1" fillId="0" borderId="26" xfId="0" applyNumberFormat="1" applyFont="1" applyBorder="1" applyAlignment="1">
      <alignment horizontal="left"/>
    </xf>
    <xf numFmtId="37" fontId="1" fillId="0" borderId="26" xfId="0" applyNumberFormat="1" applyFont="1" applyBorder="1"/>
    <xf numFmtId="37" fontId="1" fillId="0" borderId="26" xfId="0" applyNumberFormat="1" applyFont="1" applyBorder="1" applyAlignment="1">
      <alignment horizontal="left" indent="1"/>
    </xf>
    <xf numFmtId="0" fontId="2" fillId="0" borderId="32" xfId="0" applyFont="1" applyBorder="1"/>
    <xf numFmtId="3" fontId="9" fillId="0" borderId="26" xfId="1" applyNumberFormat="1" applyFont="1" applyBorder="1"/>
    <xf numFmtId="3" fontId="11" fillId="0" borderId="26" xfId="1" applyNumberFormat="1" applyFont="1" applyBorder="1"/>
    <xf numFmtId="166" fontId="0" fillId="0" borderId="0" xfId="0" applyNumberFormat="1"/>
    <xf numFmtId="0" fontId="10" fillId="0" borderId="32" xfId="2" applyNumberFormat="1" applyFont="1" applyBorder="1" applyAlignment="1">
      <alignment horizontal="right"/>
    </xf>
    <xf numFmtId="0" fontId="10" fillId="0" borderId="32" xfId="0" applyFont="1" applyBorder="1"/>
    <xf numFmtId="0" fontId="10" fillId="0" borderId="32" xfId="1" applyNumberFormat="1" applyFont="1" applyBorder="1" applyAlignment="1"/>
    <xf numFmtId="10" fontId="10" fillId="0" borderId="32" xfId="2" applyNumberFormat="1" applyFont="1" applyBorder="1" applyAlignment="1">
      <alignment horizontal="right"/>
    </xf>
    <xf numFmtId="10" fontId="10" fillId="0" borderId="32" xfId="1" applyNumberFormat="1" applyFont="1" applyBorder="1" applyAlignment="1"/>
    <xf numFmtId="10" fontId="10" fillId="0" borderId="36" xfId="1" applyNumberFormat="1" applyFont="1" applyBorder="1" applyAlignment="1"/>
    <xf numFmtId="9" fontId="10" fillId="0" borderId="32" xfId="0" applyNumberFormat="1" applyFont="1" applyBorder="1"/>
    <xf numFmtId="2" fontId="12" fillId="0" borderId="33" xfId="0" applyNumberFormat="1" applyFont="1" applyBorder="1" applyAlignment="1">
      <alignment horizontal="right"/>
    </xf>
    <xf numFmtId="2" fontId="12" fillId="0" borderId="35" xfId="0" applyNumberFormat="1" applyFont="1" applyBorder="1" applyAlignment="1">
      <alignment horizontal="right"/>
    </xf>
    <xf numFmtId="2" fontId="12" fillId="0" borderId="34" xfId="0" applyNumberFormat="1" applyFont="1" applyBorder="1"/>
    <xf numFmtId="0" fontId="5" fillId="0" borderId="32" xfId="0" applyFont="1" applyBorder="1"/>
    <xf numFmtId="1" fontId="9" fillId="0" borderId="26" xfId="1" applyNumberFormat="1" applyFont="1" applyBorder="1"/>
    <xf numFmtId="1" fontId="11" fillId="0" borderId="26" xfId="1" applyNumberFormat="1" applyFont="1" applyBorder="1"/>
    <xf numFmtId="1" fontId="9" fillId="0" borderId="26" xfId="0" applyNumberFormat="1" applyFont="1" applyBorder="1"/>
    <xf numFmtId="2" fontId="12" fillId="0" borderId="32" xfId="0" applyNumberFormat="1" applyFont="1" applyBorder="1"/>
  </cellXfs>
  <cellStyles count="3">
    <cellStyle name="Comma" xfId="1" builtinId="3"/>
    <cellStyle name="Normal" xfId="0" builtinId="0"/>
    <cellStyle name="Percent" xfId="2" builtinId="5"/>
  </cellStyles>
  <dxfs count="7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5" formatCode="#,##0_);\(#,##0\)"/>
    </dxf>
    <dxf>
      <numFmt numFmtId="5" formatCode="#,##0_);\(#,##0\)"/>
    </dxf>
    <dxf>
      <numFmt numFmtId="5" formatCode="#,##0_);\(#,##0\)"/>
    </dxf>
    <dxf>
      <numFmt numFmtId="5" formatCode="#,##0_);\(#,##0\)"/>
    </dxf>
    <dxf>
      <numFmt numFmtId="5" formatCode="#,##0_);\(#,##0\)"/>
    </dxf>
    <dxf>
      <numFmt numFmtId="5" formatCode="#,##0_);\(#,##0\)"/>
    </dxf>
    <dxf>
      <numFmt numFmtId="5" formatCode="#,##0_);\(#,##0\)"/>
    </dxf>
    <dxf>
      <numFmt numFmtId="5" formatCode="#,##0_);\(#,##0\)"/>
    </dxf>
    <dxf>
      <numFmt numFmtId="5" formatCode="#,##0_);\(#,##0\)"/>
    </dxf>
    <dxf>
      <numFmt numFmtId="5" formatCode="#,##0_);\(#,##0\)"/>
    </dxf>
    <dxf>
      <numFmt numFmtId="5" formatCode="#,##0_);\(#,##0\)"/>
    </dxf>
    <dxf>
      <numFmt numFmtId="5" formatCode="#,##0_);\(#,##0\)"/>
    </dxf>
    <dxf>
      <numFmt numFmtId="5" formatCode="#,##0_);\(#,##0\)"/>
    </dxf>
    <dxf>
      <numFmt numFmtId="5" formatCode="#,##0_);\(#,##0\)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>
                <a:latin typeface="Arial" panose="020B0604020202020204" pitchFamily="34" charset="0"/>
                <a:cs typeface="Arial" panose="020B0604020202020204" pitchFamily="34" charset="0"/>
              </a:rPr>
              <a:t>Trends in Total</a:t>
            </a:r>
            <a:r>
              <a:rPr lang="en-US" sz="1600" baseline="0">
                <a:latin typeface="Arial" panose="020B0604020202020204" pitchFamily="34" charset="0"/>
                <a:cs typeface="Arial" panose="020B0604020202020204" pitchFamily="34" charset="0"/>
              </a:rPr>
              <a:t> Sales, Revenues, Expenses, and Net Profits</a:t>
            </a:r>
            <a:endParaRPr lang="en-US" sz="1600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22263240350770108"/>
          <c:y val="2.47191011235955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9271297483163444E-2"/>
          <c:y val="9.6410156595594085E-2"/>
          <c:w val="0.88067702293027328"/>
          <c:h val="0.7791273113332744"/>
        </c:manualLayout>
      </c:layout>
      <c:lineChart>
        <c:grouping val="standard"/>
        <c:varyColors val="0"/>
        <c:ser>
          <c:idx val="0"/>
          <c:order val="0"/>
          <c:tx>
            <c:strRef>
              <c:f>BUDGET!$A$7</c:f>
              <c:strCache>
                <c:ptCount val="1"/>
                <c:pt idx="0">
                  <c:v>Total Sales 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4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265-F34F-A503-531AE5F4E96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BUDGET!$B$3:$F$3</c:f>
              <c:strCache>
                <c:ptCount val="5"/>
                <c:pt idx="0">
                  <c:v>August</c:v>
                </c:pt>
                <c:pt idx="1">
                  <c:v>September</c:v>
                </c:pt>
                <c:pt idx="2">
                  <c:v>October</c:v>
                </c:pt>
                <c:pt idx="3">
                  <c:v>November</c:v>
                </c:pt>
                <c:pt idx="4">
                  <c:v>December</c:v>
                </c:pt>
              </c:strCache>
            </c:strRef>
          </c:cat>
          <c:val>
            <c:numRef>
              <c:f>BUDGET!$B$7:$F$7</c:f>
              <c:numCache>
                <c:formatCode>0</c:formatCode>
                <c:ptCount val="5"/>
                <c:pt idx="0">
                  <c:v>11000</c:v>
                </c:pt>
                <c:pt idx="1">
                  <c:v>11693.816800000001</c:v>
                </c:pt>
                <c:pt idx="2">
                  <c:v>12437.81788232</c:v>
                </c:pt>
                <c:pt idx="3">
                  <c:v>13236.060038219368</c:v>
                </c:pt>
                <c:pt idx="4">
                  <c:v>14092.953320034767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65-F34F-A503-531AE5F4E96B}"/>
            </c:ext>
          </c:extLst>
        </c:ser>
        <c:ser>
          <c:idx val="1"/>
          <c:order val="1"/>
          <c:tx>
            <c:strRef>
              <c:f>BUDGET!$A$16</c:f>
              <c:strCache>
                <c:ptCount val="1"/>
                <c:pt idx="0">
                  <c:v>Total Expenses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4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265-F34F-A503-531AE5F4E96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BUDGET!$B$3:$F$3</c:f>
              <c:strCache>
                <c:ptCount val="5"/>
                <c:pt idx="0">
                  <c:v>August</c:v>
                </c:pt>
                <c:pt idx="1">
                  <c:v>September</c:v>
                </c:pt>
                <c:pt idx="2">
                  <c:v>October</c:v>
                </c:pt>
                <c:pt idx="3">
                  <c:v>November</c:v>
                </c:pt>
                <c:pt idx="4">
                  <c:v>December</c:v>
                </c:pt>
              </c:strCache>
            </c:strRef>
          </c:cat>
          <c:val>
            <c:numRef>
              <c:f>BUDGET!$B$16:$F$16</c:f>
              <c:numCache>
                <c:formatCode>0</c:formatCode>
                <c:ptCount val="5"/>
                <c:pt idx="0">
                  <c:v>11710</c:v>
                </c:pt>
                <c:pt idx="1">
                  <c:v>12182.04796</c:v>
                </c:pt>
                <c:pt idx="2">
                  <c:v>12685.820432004</c:v>
                </c:pt>
                <c:pt idx="3">
                  <c:v>13223.712721853466</c:v>
                </c:pt>
                <c:pt idx="4">
                  <c:v>13798.316243917792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265-F34F-A503-531AE5F4E96B}"/>
            </c:ext>
          </c:extLst>
        </c:ser>
        <c:ser>
          <c:idx val="2"/>
          <c:order val="2"/>
          <c:tx>
            <c:strRef>
              <c:f>BUDGET!$A$20</c:f>
              <c:strCache>
                <c:ptCount val="1"/>
                <c:pt idx="0">
                  <c:v>Net Profit (loss)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BUDGET!$B$3:$F$3</c:f>
              <c:strCache>
                <c:ptCount val="5"/>
                <c:pt idx="0">
                  <c:v>August</c:v>
                </c:pt>
                <c:pt idx="1">
                  <c:v>September</c:v>
                </c:pt>
                <c:pt idx="2">
                  <c:v>October</c:v>
                </c:pt>
                <c:pt idx="3">
                  <c:v>November</c:v>
                </c:pt>
                <c:pt idx="4">
                  <c:v>December</c:v>
                </c:pt>
              </c:strCache>
            </c:strRef>
          </c:cat>
          <c:val>
            <c:numRef>
              <c:f>BUDGET!$B$20:$F$20</c:f>
              <c:numCache>
                <c:formatCode>0</c:formatCode>
                <c:ptCount val="5"/>
                <c:pt idx="0">
                  <c:v>-710</c:v>
                </c:pt>
                <c:pt idx="1">
                  <c:v>-488.23115999999936</c:v>
                </c:pt>
                <c:pt idx="2">
                  <c:v>-248.00254968400077</c:v>
                </c:pt>
                <c:pt idx="3">
                  <c:v>8.8900677834498616</c:v>
                </c:pt>
                <c:pt idx="4">
                  <c:v>212.13869480422062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265-F34F-A503-531AE5F4E9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64057263"/>
        <c:axId val="864089183"/>
      </c:lineChart>
      <c:catAx>
        <c:axId val="8640572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1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i="1">
                    <a:latin typeface="Arial" panose="020B0604020202020204" pitchFamily="34" charset="0"/>
                    <a:cs typeface="Arial" panose="020B0604020202020204" pitchFamily="34" charset="0"/>
                  </a:rPr>
                  <a:t>Month</a:t>
                </a:r>
              </a:p>
            </c:rich>
          </c:tx>
          <c:layout>
            <c:manualLayout>
              <c:xMode val="edge"/>
              <c:yMode val="edge"/>
              <c:x val="0.47925125638364963"/>
              <c:y val="0.937271520835176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1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4089183"/>
        <c:crosses val="autoZero"/>
        <c:auto val="1"/>
        <c:lblAlgn val="ctr"/>
        <c:lblOffset val="100"/>
        <c:noMultiLvlLbl val="0"/>
      </c:catAx>
      <c:valAx>
        <c:axId val="864089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1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 i="1">
                    <a:latin typeface="Arial" panose="020B0604020202020204" pitchFamily="34" charset="0"/>
                    <a:cs typeface="Arial" panose="020B0604020202020204" pitchFamily="34" charset="0"/>
                  </a:rPr>
                  <a:t>Total ($) in Thousands</a:t>
                </a:r>
              </a:p>
            </c:rich>
          </c:tx>
          <c:layout>
            <c:manualLayout>
              <c:xMode val="edge"/>
              <c:yMode val="edge"/>
              <c:x val="8.0103359173126609E-2"/>
              <c:y val="0.2720748473856498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1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64057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0195187303021279"/>
          <c:y val="0.52154118375652481"/>
          <c:w val="0.56115492408299028"/>
          <c:h val="5.14925241086437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latin typeface="Arial" panose="020B0604020202020204" pitchFamily="34" charset="0"/>
                <a:cs typeface="Arial" panose="020B0604020202020204" pitchFamily="34" charset="0"/>
              </a:rPr>
              <a:t>Distribution of</a:t>
            </a:r>
            <a:r>
              <a:rPr lang="en-US" baseline="0">
                <a:latin typeface="Arial" panose="020B0604020202020204" pitchFamily="34" charset="0"/>
                <a:cs typeface="Arial" panose="020B0604020202020204" pitchFamily="34" charset="0"/>
              </a:rPr>
              <a:t> Expenses In Thousands in December 2019</a:t>
            </a:r>
            <a:endParaRPr lang="en-US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18380912572442074"/>
          <c:y val="2.238805970149253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738180503620693"/>
          <c:y val="8.2835820895522383E-2"/>
          <c:w val="0.64810583038669667"/>
          <c:h val="0.84277941003643198"/>
        </c:manualLayout>
      </c:layout>
      <c:pieChart>
        <c:varyColors val="1"/>
        <c:ser>
          <c:idx val="1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C-087C-514B-8F49-CEB4B717DB68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D-087C-514B-8F49-CEB4B717DB68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E-087C-514B-8F49-CEB4B717DB68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F-087C-514B-8F49-CEB4B717DB68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0-087C-514B-8F49-CEB4B717DB68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1-087C-514B-8F49-CEB4B717DB68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FBB53750-7E85-2B46-9676-7C31C8A8F6F1}" type="CATEGORYNAME">
                      <a:rPr lang="en-US"/>
                      <a:pPr/>
                      <a:t>[CATEGORY NAME]</a:t>
                    </a:fld>
                    <a:endParaRPr lang="en-US" baseline="0"/>
                  </a:p>
                  <a:p>
                    <a:r>
                      <a:rPr lang="en-US" baseline="0"/>
                      <a:t> $</a:t>
                    </a:r>
                    <a:fld id="{C6FDD87B-EFAE-0146-B021-296EA4CCADD1}" type="VALUE">
                      <a:rPr lang="en-US" baseline="0"/>
                      <a:pPr/>
                      <a:t>[VALUE]</a:t>
                    </a:fld>
                    <a:endParaRPr lang="en-US" baseline="0"/>
                  </a:p>
                  <a:p>
                    <a:r>
                      <a:rPr lang="en-US" baseline="0"/>
                      <a:t> </a:t>
                    </a:r>
                    <a:fld id="{A23D0879-DC89-5144-BBED-52459E45F139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dLblPos val="ctr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1C-087C-514B-8F49-CEB4B717DB68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FFE288FB-40D2-3C4C-AD9C-9D36BF14F171}" type="CATEGORYNAME">
                      <a:rPr lang="en-US"/>
                      <a:pPr/>
                      <a:t>[CATEGORY NAME]</a:t>
                    </a:fld>
                    <a:endParaRPr lang="en-US" baseline="0"/>
                  </a:p>
                  <a:p>
                    <a:r>
                      <a:rPr lang="en-US" baseline="0"/>
                      <a:t>$</a:t>
                    </a:r>
                    <a:fld id="{06C00F76-3F06-A34E-BE3D-34846A5A374C}" type="VALUE">
                      <a:rPr lang="en-US" baseline="0"/>
                      <a:pPr/>
                      <a:t>[VALUE]</a:t>
                    </a:fld>
                    <a:endParaRPr lang="en-US" baseline="0"/>
                  </a:p>
                  <a:p>
                    <a:fld id="{6F2D43DE-D521-1143-8724-31668794D8F3}" type="PERCENTAGE">
                      <a:rPr lang="en-US" baseline="0"/>
                      <a:pPr/>
                      <a:t>[PERCENTAGE]</a:t>
                    </a:fld>
                    <a:endParaRPr lang="en-US"/>
                  </a:p>
                </c:rich>
              </c:tx>
              <c:dLblPos val="ctr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1D-087C-514B-8F49-CEB4B717DB68}"/>
                </c:ext>
              </c:extLst>
            </c:dLbl>
            <c:dLbl>
              <c:idx val="2"/>
              <c:layout>
                <c:manualLayout>
                  <c:x val="0.18176741716467651"/>
                  <c:y val="-7.1262339875426017E-2"/>
                </c:manualLayout>
              </c:layout>
              <c:tx>
                <c:rich>
                  <a:bodyPr/>
                  <a:lstStyle/>
                  <a:p>
                    <a:fld id="{7FD33D4C-FF03-2942-942D-90B60FACA284}" type="CATEGORYNAME">
                      <a:rPr lang="en-US" sz="1200"/>
                      <a:pPr/>
                      <a:t>[CATEGORY NAME]</a:t>
                    </a:fld>
                    <a:endParaRPr lang="en-US" sz="1200" baseline="0"/>
                  </a:p>
                  <a:p>
                    <a:r>
                      <a:rPr lang="en-US" sz="1200" baseline="0"/>
                      <a:t>$</a:t>
                    </a:r>
                    <a:fld id="{805E0755-9C3E-2B44-BCF0-08956F8F77AF}" type="VALUE">
                      <a:rPr lang="en-US" sz="1200" baseline="0"/>
                      <a:pPr/>
                      <a:t>[VALUE]</a:t>
                    </a:fld>
                    <a:endParaRPr lang="en-US" sz="1200" baseline="0"/>
                  </a:p>
                  <a:p>
                    <a:fld id="{FE09237A-DF60-824B-BE45-7BE2DA6C7AC6}" type="PERCENTAGE">
                      <a:rPr lang="en-US" sz="1200" baseline="0"/>
                      <a:pPr/>
                      <a:t>[PERCENTAGE]</a:t>
                    </a:fld>
                    <a:endParaRPr lang="en-US"/>
                  </a:p>
                </c:rich>
              </c:tx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1E-087C-514B-8F49-CEB4B717DB68}"/>
                </c:ext>
              </c:extLst>
            </c:dLbl>
            <c:dLbl>
              <c:idx val="3"/>
              <c:layout>
                <c:manualLayout>
                  <c:x val="0.21921079090364781"/>
                  <c:y val="5.1430837936302667E-2"/>
                </c:manualLayout>
              </c:layout>
              <c:tx>
                <c:rich>
                  <a:bodyPr/>
                  <a:lstStyle/>
                  <a:p>
                    <a:fld id="{B76F76E9-B8BA-7449-9431-95BF3B6F805B}" type="CATEGORYNAME">
                      <a:rPr lang="en-US"/>
                      <a:pPr/>
                      <a:t>[CATEGORY NAME]</a:t>
                    </a:fld>
                    <a:endParaRPr lang="en-US" baseline="0"/>
                  </a:p>
                  <a:p>
                    <a:r>
                      <a:rPr lang="en-US" baseline="0"/>
                      <a:t>$</a:t>
                    </a:r>
                    <a:fld id="{A9D2C7B7-300D-174A-A72B-B0BE6DB04DA9}" type="VALUE">
                      <a:rPr lang="en-US" baseline="0"/>
                      <a:pPr/>
                      <a:t>[VALUE]</a:t>
                    </a:fld>
                    <a:endParaRPr lang="en-US" baseline="0"/>
                  </a:p>
                  <a:p>
                    <a:r>
                      <a:rPr lang="en-US" baseline="0"/>
                      <a:t> </a:t>
                    </a:r>
                    <a:fld id="{C6AD95C9-0EFE-504D-BE37-65C9ED4A183A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1F-087C-514B-8F49-CEB4B717DB68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484C5433-F07A-3C41-9C60-692F6017D2E1}" type="CATEGORYNAME">
                      <a:rPr lang="en-US"/>
                      <a:pPr/>
                      <a:t>[CATEGORY NAME]</a:t>
                    </a:fld>
                    <a:r>
                      <a:rPr lang="en-US" baseline="0"/>
                      <a:t> </a:t>
                    </a:r>
                  </a:p>
                  <a:p>
                    <a:r>
                      <a:rPr lang="en-US" baseline="0"/>
                      <a:t>$</a:t>
                    </a:r>
                    <a:fld id="{1E007321-25CD-344B-BCE4-9FC8265B8152}" type="VALUE">
                      <a:rPr lang="en-US" baseline="0"/>
                      <a:pPr/>
                      <a:t>[VALUE]</a:t>
                    </a:fld>
                    <a:endParaRPr lang="en-US" baseline="0"/>
                  </a:p>
                  <a:p>
                    <a:r>
                      <a:rPr lang="en-US" baseline="0"/>
                      <a:t> </a:t>
                    </a:r>
                    <a:fld id="{F19DEF69-0113-8747-9273-E1A8F84960CE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20-087C-514B-8F49-CEB4B717DB68}"/>
                </c:ext>
              </c:extLst>
            </c:dLbl>
            <c:dLbl>
              <c:idx val="5"/>
              <c:layout>
                <c:manualLayout>
                  <c:x val="5.6900608908821836E-2"/>
                  <c:y val="0.13386194029850745"/>
                </c:manualLayout>
              </c:layout>
              <c:tx>
                <c:rich>
                  <a:bodyPr/>
                  <a:lstStyle/>
                  <a:p>
                    <a:fld id="{2B4E4A4E-7154-9C4B-A0F9-2BB19F659806}" type="CATEGORYNAME">
                      <a:rPr lang="en-US"/>
                      <a:pPr/>
                      <a:t>[CATEGORY NAME]</a:t>
                    </a:fld>
                    <a:endParaRPr lang="en-US" baseline="0"/>
                  </a:p>
                  <a:p>
                    <a:r>
                      <a:rPr lang="en-US" baseline="0"/>
                      <a:t> $</a:t>
                    </a:r>
                    <a:fld id="{212DEF41-53BC-E643-8303-8475083428E4}" type="VALUE">
                      <a:rPr lang="en-US" baseline="0"/>
                      <a:pPr/>
                      <a:t>[VALUE]</a:t>
                    </a:fld>
                    <a:endParaRPr lang="en-US" baseline="0"/>
                  </a:p>
                  <a:p>
                    <a:r>
                      <a:rPr lang="en-US" baseline="0"/>
                      <a:t>   </a:t>
                    </a:r>
                    <a:fld id="{7C077930-51DD-5D43-92F1-9099E8E977C0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21-087C-514B-8F49-CEB4B717DB6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BUDGET!$A$10:$A$15</c:f>
              <c:strCache>
                <c:ptCount val="6"/>
                <c:pt idx="0">
                  <c:v>Printing Costs</c:v>
                </c:pt>
                <c:pt idx="1">
                  <c:v>Salaries</c:v>
                </c:pt>
                <c:pt idx="2">
                  <c:v>Administration</c:v>
                </c:pt>
                <c:pt idx="3">
                  <c:v>Advertising</c:v>
                </c:pt>
                <c:pt idx="4">
                  <c:v>Legal Fees</c:v>
                </c:pt>
                <c:pt idx="5">
                  <c:v>Shipping</c:v>
                </c:pt>
              </c:strCache>
            </c:strRef>
          </c:cat>
          <c:val>
            <c:numRef>
              <c:f>BUDGET!$F$10:$F$15</c:f>
              <c:numCache>
                <c:formatCode>0</c:formatCode>
                <c:ptCount val="6"/>
                <c:pt idx="0">
                  <c:v>5637.1813280139068</c:v>
                </c:pt>
                <c:pt idx="1">
                  <c:v>3500</c:v>
                </c:pt>
                <c:pt idx="2">
                  <c:v>704.64766600173834</c:v>
                </c:pt>
                <c:pt idx="3">
                  <c:v>2014.8052624916088</c:v>
                </c:pt>
                <c:pt idx="4">
                  <c:v>855.63563398639099</c:v>
                </c:pt>
                <c:pt idx="5">
                  <c:v>1086.0463534241485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087C-514B-8F49-CEB4B717DB68}"/>
            </c:ext>
          </c:extLst>
        </c:ser>
        <c:ser>
          <c:idx val="0"/>
          <c:order val="1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087C-514B-8F49-CEB4B717DB68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087C-514B-8F49-CEB4B717DB68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087C-514B-8F49-CEB4B717DB68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087C-514B-8F49-CEB4B717DB68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087C-514B-8F49-CEB4B717DB68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087C-514B-8F49-CEB4B717DB68}"/>
              </c:ext>
            </c:extLst>
          </c:dPt>
          <c:cat>
            <c:strRef>
              <c:f>BUDGET!$A$10:$A$15</c:f>
              <c:strCache>
                <c:ptCount val="6"/>
                <c:pt idx="0">
                  <c:v>Printing Costs</c:v>
                </c:pt>
                <c:pt idx="1">
                  <c:v>Salaries</c:v>
                </c:pt>
                <c:pt idx="2">
                  <c:v>Administration</c:v>
                </c:pt>
                <c:pt idx="3">
                  <c:v>Advertising</c:v>
                </c:pt>
                <c:pt idx="4">
                  <c:v>Legal Fees</c:v>
                </c:pt>
                <c:pt idx="5">
                  <c:v>Shipping</c:v>
                </c:pt>
              </c:strCache>
            </c:strRef>
          </c:cat>
          <c:val>
            <c:numRef>
              <c:f>BUDGET!$F$10:$F$15</c:f>
              <c:numCache>
                <c:formatCode>0</c:formatCode>
                <c:ptCount val="6"/>
                <c:pt idx="0">
                  <c:v>5637.1813280139068</c:v>
                </c:pt>
                <c:pt idx="1">
                  <c:v>3500</c:v>
                </c:pt>
                <c:pt idx="2">
                  <c:v>704.64766600173834</c:v>
                </c:pt>
                <c:pt idx="3">
                  <c:v>2014.8052624916088</c:v>
                </c:pt>
                <c:pt idx="4">
                  <c:v>855.63563398639099</c:v>
                </c:pt>
                <c:pt idx="5">
                  <c:v>1086.0463534241485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087C-514B-8F49-CEB4B717DB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139700</xdr:colOff>
      <xdr:row>2</xdr:row>
      <xdr:rowOff>177800</xdr:rowOff>
    </xdr:from>
    <xdr:to>
      <xdr:col>13</xdr:col>
      <xdr:colOff>63500</xdr:colOff>
      <xdr:row>32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261EBC-AC1C-224B-B1D9-FE266579F2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440266</xdr:colOff>
      <xdr:row>1</xdr:row>
      <xdr:rowOff>148167</xdr:rowOff>
    </xdr:from>
    <xdr:to>
      <xdr:col>11</xdr:col>
      <xdr:colOff>211666</xdr:colOff>
      <xdr:row>37</xdr:row>
      <xdr:rowOff>97367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5010E8-2EC3-B84E-941B-8951A03676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237.014073958337" createdVersion="8" refreshedVersion="8" minRefreshableVersion="3" recordCount="43" xr:uid="{58241CC7-C9D7-B140-B29F-32AAD9FBE643}">
  <cacheSource type="worksheet">
    <worksheetSource ref="A1:G44" sheet="SALES"/>
  </cacheSource>
  <cacheFields count="7">
    <cacheField name="Order_x000a_Date" numFmtId="164">
      <sharedItems containsSemiMixedTypes="0" containsNonDate="0" containsDate="1" containsString="0" minDate="2020-01-06T00:00:00" maxDate="2021-12-22T00:00:00" count="43">
        <d v="2020-01-06T00:00:00"/>
        <d v="2020-01-23T00:00:00"/>
        <d v="2020-02-09T00:00:00"/>
        <d v="2020-02-26T00:00:00"/>
        <d v="2020-03-15T00:00:00"/>
        <d v="2020-04-01T00:00:00"/>
        <d v="2020-04-18T00:00:00"/>
        <d v="2020-05-05T00:00:00"/>
        <d v="2020-05-22T00:00:00"/>
        <d v="2020-06-08T00:00:00"/>
        <d v="2020-06-25T00:00:00"/>
        <d v="2020-07-12T00:00:00"/>
        <d v="2020-07-29T00:00:00"/>
        <d v="2020-08-15T00:00:00"/>
        <d v="2020-09-01T00:00:00"/>
        <d v="2020-09-18T00:00:00"/>
        <d v="2020-10-05T00:00:00"/>
        <d v="2020-10-22T00:00:00"/>
        <d v="2020-11-08T00:00:00"/>
        <d v="2020-11-25T00:00:00"/>
        <d v="2020-12-12T00:00:00"/>
        <d v="2020-12-29T00:00:00"/>
        <d v="2021-01-15T00:00:00"/>
        <d v="2021-02-01T00:00:00"/>
        <d v="2021-02-18T00:00:00"/>
        <d v="2021-03-07T00:00:00"/>
        <d v="2021-03-24T00:00:00"/>
        <d v="2021-04-10T00:00:00"/>
        <d v="2021-04-27T00:00:00"/>
        <d v="2021-05-14T00:00:00"/>
        <d v="2021-05-31T00:00:00"/>
        <d v="2021-06-17T00:00:00"/>
        <d v="2021-07-04T00:00:00"/>
        <d v="2021-07-21T00:00:00"/>
        <d v="2021-08-07T00:00:00"/>
        <d v="2021-08-24T00:00:00"/>
        <d v="2021-09-10T00:00:00"/>
        <d v="2021-09-27T00:00:00"/>
        <d v="2021-10-14T00:00:00"/>
        <d v="2021-10-31T00:00:00"/>
        <d v="2021-11-17T00:00:00"/>
        <d v="2021-12-04T00:00:00"/>
        <d v="2021-12-21T00:00:00"/>
      </sharedItems>
      <fieldGroup base="0">
        <rangePr groupBy="years" startDate="2020-01-06T00:00:00" endDate="2021-12-22T00:00:00"/>
        <groupItems count="4">
          <s v="&lt;1/6/20"/>
          <s v="2020"/>
          <s v="2021"/>
          <s v="&gt;12/22/21"/>
        </groupItems>
      </fieldGroup>
    </cacheField>
    <cacheField name="Region" numFmtId="0">
      <sharedItems/>
    </cacheField>
    <cacheField name="Representative" numFmtId="0">
      <sharedItems count="11">
        <s v="Jones"/>
        <s v="Kivell"/>
        <s v="Jardine"/>
        <s v="Gill"/>
        <s v="Sorvino"/>
        <s v="Andrews"/>
        <s v="Thompson"/>
        <s v="Morgan"/>
        <s v="Howard"/>
        <s v="Parent"/>
        <s v="Smith"/>
      </sharedItems>
    </cacheField>
    <cacheField name="Invitation _x000a_type" numFmtId="0">
      <sharedItems count="4">
        <s v="Birthday"/>
        <s v="Business"/>
        <s v="Wedding"/>
        <s v="Graduation"/>
      </sharedItems>
    </cacheField>
    <cacheField name="Units_x000a_(100)" numFmtId="0">
      <sharedItems containsSemiMixedTypes="0" containsString="0" containsNumber="1" containsInteger="1" minValue="2" maxValue="96" count="37">
        <n v="95"/>
        <n v="50"/>
        <n v="36"/>
        <n v="27"/>
        <n v="56"/>
        <n v="60"/>
        <n v="75"/>
        <n v="90"/>
        <n v="32"/>
        <n v="29"/>
        <n v="81"/>
        <n v="35"/>
        <n v="2"/>
        <n v="16"/>
        <n v="28"/>
        <n v="64"/>
        <n v="15"/>
        <n v="96"/>
        <n v="67"/>
        <n v="74"/>
        <n v="46"/>
        <n v="87"/>
        <n v="4"/>
        <n v="7"/>
        <n v="66"/>
        <n v="53"/>
        <n v="80"/>
        <n v="5"/>
        <n v="62"/>
        <n v="55"/>
        <n v="42"/>
        <n v="3"/>
        <n v="76"/>
        <n v="57"/>
        <n v="14"/>
        <n v="11"/>
        <n v="94"/>
      </sharedItems>
    </cacheField>
    <cacheField name="Unit_x000a_Cost" numFmtId="0">
      <sharedItems containsSemiMixedTypes="0" containsString="0" containsNumber="1" minValue="0.57999999999999996" maxValue="19.989999999999998"/>
    </cacheField>
    <cacheField name="Total" numFmtId="165">
      <sharedItems containsSemiMixedTypes="0" containsString="0" containsNumber="1" minValue="500" maxValue="130500" count="42">
        <n v="18905"/>
        <n v="17450"/>
        <n v="17964"/>
        <n v="5373"/>
        <n v="16744"/>
        <n v="29940"/>
        <n v="14925"/>
        <n v="44910"/>
        <n v="6368"/>
        <n v="5100"/>
        <n v="5771"/>
        <n v="9234"/>
        <n v="7945"/>
        <n v="500"/>
        <n v="2512"/>
        <n v="8792"/>
        <n v="8640"/>
        <n v="1455"/>
        <n v="22272"/>
        <n v="8643"/>
        <n v="23458"/>
        <n v="41354"/>
        <n v="130500"/>
        <n v="1996"/>
        <n v="13992.999999999998"/>
        <n v="24950"/>
        <n v="13134"/>
        <n v="47904"/>
        <n v="6837"/>
        <n v="8320"/>
        <n v="750"/>
        <n v="11594"/>
        <n v="13695.000000000002"/>
        <n v="9072"/>
        <n v="744"/>
        <n v="903"/>
        <n v="15124"/>
        <n v="9804"/>
        <n v="1806"/>
        <n v="638"/>
        <n v="18706"/>
        <n v="3388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">
  <r>
    <x v="0"/>
    <s v="East"/>
    <x v="0"/>
    <x v="0"/>
    <x v="0"/>
    <n v="1.99"/>
    <x v="0"/>
  </r>
  <r>
    <x v="1"/>
    <s v="Central"/>
    <x v="1"/>
    <x v="1"/>
    <x v="1"/>
    <n v="3.49"/>
    <x v="1"/>
  </r>
  <r>
    <x v="2"/>
    <s v="Central"/>
    <x v="2"/>
    <x v="0"/>
    <x v="2"/>
    <n v="4.99"/>
    <x v="2"/>
  </r>
  <r>
    <x v="3"/>
    <s v="Central"/>
    <x v="3"/>
    <x v="2"/>
    <x v="3"/>
    <n v="1.99"/>
    <x v="3"/>
  </r>
  <r>
    <x v="4"/>
    <s v="West"/>
    <x v="4"/>
    <x v="0"/>
    <x v="4"/>
    <n v="2.99"/>
    <x v="4"/>
  </r>
  <r>
    <x v="5"/>
    <s v="East"/>
    <x v="0"/>
    <x v="1"/>
    <x v="5"/>
    <n v="4.99"/>
    <x v="5"/>
  </r>
  <r>
    <x v="6"/>
    <s v="Central"/>
    <x v="5"/>
    <x v="0"/>
    <x v="6"/>
    <n v="1.99"/>
    <x v="6"/>
  </r>
  <r>
    <x v="7"/>
    <s v="Central"/>
    <x v="2"/>
    <x v="0"/>
    <x v="7"/>
    <n v="4.99"/>
    <x v="7"/>
  </r>
  <r>
    <x v="8"/>
    <s v="West"/>
    <x v="6"/>
    <x v="0"/>
    <x v="8"/>
    <n v="1.99"/>
    <x v="8"/>
  </r>
  <r>
    <x v="9"/>
    <s v="East"/>
    <x v="0"/>
    <x v="1"/>
    <x v="5"/>
    <n v="0.85"/>
    <x v="9"/>
  </r>
  <r>
    <x v="10"/>
    <s v="Central"/>
    <x v="7"/>
    <x v="0"/>
    <x v="7"/>
    <n v="4.99"/>
    <x v="7"/>
  </r>
  <r>
    <x v="11"/>
    <s v="East"/>
    <x v="8"/>
    <x v="1"/>
    <x v="9"/>
    <n v="1.99"/>
    <x v="10"/>
  </r>
  <r>
    <x v="12"/>
    <s v="East"/>
    <x v="9"/>
    <x v="1"/>
    <x v="10"/>
    <n v="1.1399999999999999"/>
    <x v="11"/>
  </r>
  <r>
    <x v="13"/>
    <s v="East"/>
    <x v="0"/>
    <x v="0"/>
    <x v="11"/>
    <n v="2.27"/>
    <x v="12"/>
  </r>
  <r>
    <x v="14"/>
    <s v="Central"/>
    <x v="10"/>
    <x v="2"/>
    <x v="12"/>
    <n v="2.5"/>
    <x v="13"/>
  </r>
  <r>
    <x v="15"/>
    <s v="East"/>
    <x v="0"/>
    <x v="3"/>
    <x v="13"/>
    <n v="1.57"/>
    <x v="14"/>
  </r>
  <r>
    <x v="16"/>
    <s v="Central"/>
    <x v="7"/>
    <x v="1"/>
    <x v="14"/>
    <n v="3.14"/>
    <x v="15"/>
  </r>
  <r>
    <x v="17"/>
    <s v="East"/>
    <x v="0"/>
    <x v="2"/>
    <x v="15"/>
    <n v="1.35"/>
    <x v="16"/>
  </r>
  <r>
    <x v="18"/>
    <s v="East"/>
    <x v="9"/>
    <x v="2"/>
    <x v="16"/>
    <n v="0.97"/>
    <x v="17"/>
  </r>
  <r>
    <x v="19"/>
    <s v="Central"/>
    <x v="1"/>
    <x v="3"/>
    <x v="17"/>
    <n v="2.3199999999999998"/>
    <x v="18"/>
  </r>
  <r>
    <x v="20"/>
    <s v="Central"/>
    <x v="10"/>
    <x v="0"/>
    <x v="18"/>
    <n v="1.29"/>
    <x v="19"/>
  </r>
  <r>
    <x v="21"/>
    <s v="East"/>
    <x v="9"/>
    <x v="3"/>
    <x v="19"/>
    <n v="3.17"/>
    <x v="20"/>
  </r>
  <r>
    <x v="22"/>
    <s v="Central"/>
    <x v="3"/>
    <x v="1"/>
    <x v="20"/>
    <n v="8.99"/>
    <x v="21"/>
  </r>
  <r>
    <x v="23"/>
    <s v="Central"/>
    <x v="10"/>
    <x v="1"/>
    <x v="21"/>
    <n v="15"/>
    <x v="22"/>
  </r>
  <r>
    <x v="24"/>
    <s v="East"/>
    <x v="0"/>
    <x v="1"/>
    <x v="22"/>
    <n v="4.99"/>
    <x v="23"/>
  </r>
  <r>
    <x v="25"/>
    <s v="West"/>
    <x v="4"/>
    <x v="1"/>
    <x v="23"/>
    <n v="19.989999999999998"/>
    <x v="24"/>
  </r>
  <r>
    <x v="26"/>
    <s v="Central"/>
    <x v="2"/>
    <x v="3"/>
    <x v="1"/>
    <n v="4.99"/>
    <x v="25"/>
  </r>
  <r>
    <x v="27"/>
    <s v="Central"/>
    <x v="5"/>
    <x v="0"/>
    <x v="24"/>
    <n v="1.99"/>
    <x v="26"/>
  </r>
  <r>
    <x v="28"/>
    <s v="East"/>
    <x v="8"/>
    <x v="2"/>
    <x v="17"/>
    <n v="4.99"/>
    <x v="27"/>
  </r>
  <r>
    <x v="29"/>
    <s v="Central"/>
    <x v="3"/>
    <x v="0"/>
    <x v="25"/>
    <n v="1.29"/>
    <x v="28"/>
  </r>
  <r>
    <x v="30"/>
    <s v="Central"/>
    <x v="3"/>
    <x v="1"/>
    <x v="26"/>
    <n v="1.04"/>
    <x v="29"/>
  </r>
  <r>
    <x v="31"/>
    <s v="Central"/>
    <x v="1"/>
    <x v="2"/>
    <x v="27"/>
    <n v="1.5"/>
    <x v="30"/>
  </r>
  <r>
    <x v="32"/>
    <s v="East"/>
    <x v="0"/>
    <x v="3"/>
    <x v="28"/>
    <n v="1.87"/>
    <x v="31"/>
  </r>
  <r>
    <x v="33"/>
    <s v="Central"/>
    <x v="7"/>
    <x v="3"/>
    <x v="29"/>
    <n v="2.4900000000000002"/>
    <x v="32"/>
  </r>
  <r>
    <x v="34"/>
    <s v="Central"/>
    <x v="1"/>
    <x v="3"/>
    <x v="30"/>
    <n v="2.16"/>
    <x v="33"/>
  </r>
  <r>
    <x v="35"/>
    <s v="West"/>
    <x v="4"/>
    <x v="2"/>
    <x v="31"/>
    <n v="2.48"/>
    <x v="34"/>
  </r>
  <r>
    <x v="36"/>
    <s v="Central"/>
    <x v="3"/>
    <x v="0"/>
    <x v="23"/>
    <n v="1.29"/>
    <x v="35"/>
  </r>
  <r>
    <x v="37"/>
    <s v="West"/>
    <x v="4"/>
    <x v="2"/>
    <x v="32"/>
    <n v="1.99"/>
    <x v="36"/>
  </r>
  <r>
    <x v="38"/>
    <s v="West"/>
    <x v="6"/>
    <x v="1"/>
    <x v="33"/>
    <n v="1.72"/>
    <x v="37"/>
  </r>
  <r>
    <x v="39"/>
    <s v="Central"/>
    <x v="5"/>
    <x v="0"/>
    <x v="34"/>
    <n v="1.29"/>
    <x v="38"/>
  </r>
  <r>
    <x v="40"/>
    <s v="Central"/>
    <x v="2"/>
    <x v="1"/>
    <x v="35"/>
    <n v="0.57999999999999996"/>
    <x v="39"/>
  </r>
  <r>
    <x v="41"/>
    <s v="Central"/>
    <x v="2"/>
    <x v="1"/>
    <x v="36"/>
    <n v="1.99"/>
    <x v="40"/>
  </r>
  <r>
    <x v="42"/>
    <s v="Central"/>
    <x v="5"/>
    <x v="1"/>
    <x v="14"/>
    <n v="1.21"/>
    <x v="4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C8198E-1699-9A41-B7B4-2F1D3E0ED5B7}" name="PivotTable9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K39" firstHeaderRow="1" firstDataRow="3" firstDataCol="1"/>
  <pivotFields count="7">
    <pivotField axis="axisRow" numFmtId="164" showAll="0">
      <items count="5">
        <item x="0"/>
        <item x="1"/>
        <item x="2"/>
        <item x="3"/>
        <item t="default"/>
      </items>
    </pivotField>
    <pivotField showAll="0"/>
    <pivotField axis="axisRow" showAll="0">
      <items count="12">
        <item x="5"/>
        <item x="3"/>
        <item x="8"/>
        <item x="2"/>
        <item x="0"/>
        <item x="1"/>
        <item x="7"/>
        <item x="9"/>
        <item x="10"/>
        <item x="4"/>
        <item x="6"/>
        <item t="default"/>
      </items>
    </pivotField>
    <pivotField axis="axisCol" showAll="0">
      <items count="5">
        <item x="0"/>
        <item x="1"/>
        <item x="3"/>
        <item x="2"/>
        <item t="default"/>
      </items>
    </pivotField>
    <pivotField dataField="1" showAll="0">
      <items count="38">
        <item x="12"/>
        <item x="31"/>
        <item x="22"/>
        <item x="27"/>
        <item x="23"/>
        <item x="35"/>
        <item x="34"/>
        <item x="16"/>
        <item x="13"/>
        <item x="3"/>
        <item x="14"/>
        <item x="9"/>
        <item x="8"/>
        <item x="11"/>
        <item x="2"/>
        <item x="30"/>
        <item x="20"/>
        <item x="1"/>
        <item x="25"/>
        <item x="29"/>
        <item x="4"/>
        <item x="33"/>
        <item x="5"/>
        <item x="28"/>
        <item x="15"/>
        <item x="24"/>
        <item x="18"/>
        <item x="19"/>
        <item x="6"/>
        <item x="32"/>
        <item x="26"/>
        <item x="10"/>
        <item x="21"/>
        <item x="7"/>
        <item x="36"/>
        <item x="0"/>
        <item x="17"/>
        <item t="default"/>
      </items>
    </pivotField>
    <pivotField showAll="0"/>
    <pivotField dataField="1" numFmtId="165" showAll="0">
      <items count="43">
        <item x="13"/>
        <item x="39"/>
        <item x="34"/>
        <item x="30"/>
        <item x="35"/>
        <item x="17"/>
        <item x="38"/>
        <item x="23"/>
        <item x="14"/>
        <item x="41"/>
        <item x="9"/>
        <item x="3"/>
        <item x="10"/>
        <item x="8"/>
        <item x="28"/>
        <item x="12"/>
        <item x="29"/>
        <item x="16"/>
        <item x="19"/>
        <item x="15"/>
        <item x="33"/>
        <item x="11"/>
        <item x="37"/>
        <item x="31"/>
        <item x="26"/>
        <item x="32"/>
        <item x="24"/>
        <item x="6"/>
        <item x="36"/>
        <item x="4"/>
        <item x="1"/>
        <item x="2"/>
        <item x="40"/>
        <item x="0"/>
        <item x="18"/>
        <item x="20"/>
        <item x="25"/>
        <item x="5"/>
        <item x="21"/>
        <item x="7"/>
        <item x="27"/>
        <item x="22"/>
        <item t="default"/>
      </items>
    </pivotField>
  </pivotFields>
  <rowFields count="2">
    <field x="2"/>
    <field x="0"/>
  </rowFields>
  <rowItems count="33">
    <i>
      <x/>
    </i>
    <i r="1">
      <x v="1"/>
    </i>
    <i r="1">
      <x v="2"/>
    </i>
    <i>
      <x v="1"/>
    </i>
    <i r="1">
      <x v="1"/>
    </i>
    <i r="1">
      <x v="2"/>
    </i>
    <i>
      <x v="2"/>
    </i>
    <i r="1">
      <x v="1"/>
    </i>
    <i r="1">
      <x v="2"/>
    </i>
    <i>
      <x v="3"/>
    </i>
    <i r="1">
      <x v="1"/>
    </i>
    <i r="1">
      <x v="2"/>
    </i>
    <i>
      <x v="4"/>
    </i>
    <i r="1">
      <x v="1"/>
    </i>
    <i r="1">
      <x v="2"/>
    </i>
    <i>
      <x v="5"/>
    </i>
    <i r="1">
      <x v="1"/>
    </i>
    <i r="1">
      <x v="2"/>
    </i>
    <i>
      <x v="6"/>
    </i>
    <i r="1">
      <x v="1"/>
    </i>
    <i r="1">
      <x v="2"/>
    </i>
    <i>
      <x v="7"/>
    </i>
    <i r="1">
      <x v="1"/>
    </i>
    <i>
      <x v="8"/>
    </i>
    <i r="1">
      <x v="1"/>
    </i>
    <i r="1">
      <x v="2"/>
    </i>
    <i>
      <x v="9"/>
    </i>
    <i r="1">
      <x v="1"/>
    </i>
    <i r="1">
      <x v="2"/>
    </i>
    <i>
      <x v="10"/>
    </i>
    <i r="1">
      <x v="1"/>
    </i>
    <i r="1">
      <x v="2"/>
    </i>
    <i t="grand">
      <x/>
    </i>
  </rowItems>
  <colFields count="2">
    <field x="3"/>
    <field x="-2"/>
  </colFields>
  <colItems count="10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 t="grand">
      <x/>
    </i>
    <i t="grand" i="1">
      <x/>
    </i>
  </colItems>
  <dataFields count="2">
    <dataField name="Sum of Total" fld="6" baseField="0" baseItem="0"/>
    <dataField name="Count of Units_x000a_(100)" fld="4" subtotal="count" baseField="0" baseItem="0"/>
  </dataFields>
  <formats count="68">
    <format dxfId="71">
      <pivotArea type="all" dataOnly="0" outline="0" fieldPosition="0"/>
    </format>
    <format dxfId="70">
      <pivotArea outline="0" collapsedLevelsAreSubtotals="1" fieldPosition="0"/>
    </format>
    <format dxfId="69">
      <pivotArea type="origin" dataOnly="0" labelOnly="1" outline="0" fieldPosition="0"/>
    </format>
    <format dxfId="68">
      <pivotArea field="3" type="button" dataOnly="0" labelOnly="1" outline="0" axis="axisCol" fieldPosition="0"/>
    </format>
    <format dxfId="67">
      <pivotArea field="-2" type="button" dataOnly="0" labelOnly="1" outline="0" axis="axisCol" fieldPosition="1"/>
    </format>
    <format dxfId="66">
      <pivotArea type="topRight" dataOnly="0" labelOnly="1" outline="0" fieldPosition="0"/>
    </format>
    <format dxfId="65">
      <pivotArea field="2" type="button" dataOnly="0" labelOnly="1" outline="0" axis="axisRow" fieldPosition="0"/>
    </format>
    <format dxfId="64">
      <pivotArea dataOnly="0" labelOnly="1" fieldPosition="0">
        <references count="1">
          <reference field="2" count="0"/>
        </references>
      </pivotArea>
    </format>
    <format dxfId="63">
      <pivotArea dataOnly="0" labelOnly="1" grandRow="1" outline="0" fieldPosition="0"/>
    </format>
    <format dxfId="62">
      <pivotArea dataOnly="0" labelOnly="1" fieldPosition="0">
        <references count="2">
          <reference field="0" count="2">
            <x v="1"/>
            <x v="2"/>
          </reference>
          <reference field="2" count="1" selected="0">
            <x v="0"/>
          </reference>
        </references>
      </pivotArea>
    </format>
    <format dxfId="61">
      <pivotArea dataOnly="0" labelOnly="1" fieldPosition="0">
        <references count="2">
          <reference field="0" count="2">
            <x v="1"/>
            <x v="2"/>
          </reference>
          <reference field="2" count="1" selected="0">
            <x v="1"/>
          </reference>
        </references>
      </pivotArea>
    </format>
    <format dxfId="60">
      <pivotArea dataOnly="0" labelOnly="1" fieldPosition="0">
        <references count="2">
          <reference field="0" count="2">
            <x v="1"/>
            <x v="2"/>
          </reference>
          <reference field="2" count="1" selected="0">
            <x v="2"/>
          </reference>
        </references>
      </pivotArea>
    </format>
    <format dxfId="59">
      <pivotArea dataOnly="0" labelOnly="1" fieldPosition="0">
        <references count="2">
          <reference field="0" count="2">
            <x v="1"/>
            <x v="2"/>
          </reference>
          <reference field="2" count="1" selected="0">
            <x v="3"/>
          </reference>
        </references>
      </pivotArea>
    </format>
    <format dxfId="58">
      <pivotArea dataOnly="0" labelOnly="1" fieldPosition="0">
        <references count="2">
          <reference field="0" count="2">
            <x v="1"/>
            <x v="2"/>
          </reference>
          <reference field="2" count="1" selected="0">
            <x v="4"/>
          </reference>
        </references>
      </pivotArea>
    </format>
    <format dxfId="57">
      <pivotArea dataOnly="0" labelOnly="1" fieldPosition="0">
        <references count="2">
          <reference field="0" count="2">
            <x v="1"/>
            <x v="2"/>
          </reference>
          <reference field="2" count="1" selected="0">
            <x v="5"/>
          </reference>
        </references>
      </pivotArea>
    </format>
    <format dxfId="56">
      <pivotArea dataOnly="0" labelOnly="1" fieldPosition="0">
        <references count="2">
          <reference field="0" count="2">
            <x v="1"/>
            <x v="2"/>
          </reference>
          <reference field="2" count="1" selected="0">
            <x v="6"/>
          </reference>
        </references>
      </pivotArea>
    </format>
    <format dxfId="55">
      <pivotArea dataOnly="0" labelOnly="1" fieldPosition="0">
        <references count="2">
          <reference field="0" count="1">
            <x v="1"/>
          </reference>
          <reference field="2" count="1" selected="0">
            <x v="7"/>
          </reference>
        </references>
      </pivotArea>
    </format>
    <format dxfId="54">
      <pivotArea dataOnly="0" labelOnly="1" fieldPosition="0">
        <references count="2">
          <reference field="0" count="2">
            <x v="1"/>
            <x v="2"/>
          </reference>
          <reference field="2" count="1" selected="0">
            <x v="8"/>
          </reference>
        </references>
      </pivotArea>
    </format>
    <format dxfId="53">
      <pivotArea dataOnly="0" labelOnly="1" fieldPosition="0">
        <references count="2">
          <reference field="0" count="2">
            <x v="1"/>
            <x v="2"/>
          </reference>
          <reference field="2" count="1" selected="0">
            <x v="9"/>
          </reference>
        </references>
      </pivotArea>
    </format>
    <format dxfId="52">
      <pivotArea dataOnly="0" labelOnly="1" fieldPosition="0">
        <references count="2">
          <reference field="0" count="2">
            <x v="1"/>
            <x v="2"/>
          </reference>
          <reference field="2" count="1" selected="0">
            <x v="10"/>
          </reference>
        </references>
      </pivotArea>
    </format>
    <format dxfId="51">
      <pivotArea dataOnly="0" labelOnly="1" fieldPosition="0">
        <references count="1">
          <reference field="3" count="0"/>
        </references>
      </pivotArea>
    </format>
    <format dxfId="50">
      <pivotArea field="3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49">
      <pivotArea field="3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48">
      <pivotArea dataOnly="0" labelOnly="1" outline="0" fieldPosition="0">
        <references count="2">
          <reference field="4294967294" count="2">
            <x v="0"/>
            <x v="1"/>
          </reference>
          <reference field="3" count="1" selected="0">
            <x v="0"/>
          </reference>
        </references>
      </pivotArea>
    </format>
    <format dxfId="47">
      <pivotArea dataOnly="0" labelOnly="1" outline="0" fieldPosition="0">
        <references count="2">
          <reference field="4294967294" count="2">
            <x v="0"/>
            <x v="1"/>
          </reference>
          <reference field="3" count="1" selected="0">
            <x v="1"/>
          </reference>
        </references>
      </pivotArea>
    </format>
    <format dxfId="46">
      <pivotArea dataOnly="0" labelOnly="1" outline="0" fieldPosition="0">
        <references count="2">
          <reference field="4294967294" count="2">
            <x v="0"/>
            <x v="1"/>
          </reference>
          <reference field="3" count="1" selected="0">
            <x v="2"/>
          </reference>
        </references>
      </pivotArea>
    </format>
    <format dxfId="45">
      <pivotArea dataOnly="0" labelOnly="1" outline="0" fieldPosition="0">
        <references count="2">
          <reference field="4294967294" count="2">
            <x v="0"/>
            <x v="1"/>
          </reference>
          <reference field="3" count="1" selected="0">
            <x v="3"/>
          </reference>
        </references>
      </pivotArea>
    </format>
    <format dxfId="44">
      <pivotArea type="all" dataOnly="0" outline="0" fieldPosition="0"/>
    </format>
    <format dxfId="43">
      <pivotArea outline="0" collapsedLevelsAreSubtotals="1" fieldPosition="0"/>
    </format>
    <format dxfId="42">
      <pivotArea type="origin" dataOnly="0" labelOnly="1" outline="0" fieldPosition="0"/>
    </format>
    <format dxfId="41">
      <pivotArea field="3" type="button" dataOnly="0" labelOnly="1" outline="0" axis="axisCol" fieldPosition="0"/>
    </format>
    <format dxfId="40">
      <pivotArea field="-2" type="button" dataOnly="0" labelOnly="1" outline="0" axis="axisCol" fieldPosition="1"/>
    </format>
    <format dxfId="39">
      <pivotArea type="topRight" dataOnly="0" labelOnly="1" outline="0" fieldPosition="0"/>
    </format>
    <format dxfId="38">
      <pivotArea field="2" type="button" dataOnly="0" labelOnly="1" outline="0" axis="axisRow" fieldPosition="0"/>
    </format>
    <format dxfId="37">
      <pivotArea dataOnly="0" labelOnly="1" fieldPosition="0">
        <references count="1">
          <reference field="2" count="0"/>
        </references>
      </pivotArea>
    </format>
    <format dxfId="36">
      <pivotArea dataOnly="0" labelOnly="1" grandRow="1" outline="0" fieldPosition="0"/>
    </format>
    <format dxfId="35">
      <pivotArea dataOnly="0" labelOnly="1" fieldPosition="0">
        <references count="2">
          <reference field="0" count="2">
            <x v="1"/>
            <x v="2"/>
          </reference>
          <reference field="2" count="1" selected="0">
            <x v="0"/>
          </reference>
        </references>
      </pivotArea>
    </format>
    <format dxfId="34">
      <pivotArea dataOnly="0" labelOnly="1" fieldPosition="0">
        <references count="2">
          <reference field="0" count="2">
            <x v="1"/>
            <x v="2"/>
          </reference>
          <reference field="2" count="1" selected="0">
            <x v="1"/>
          </reference>
        </references>
      </pivotArea>
    </format>
    <format dxfId="33">
      <pivotArea dataOnly="0" labelOnly="1" fieldPosition="0">
        <references count="2">
          <reference field="0" count="2">
            <x v="1"/>
            <x v="2"/>
          </reference>
          <reference field="2" count="1" selected="0">
            <x v="2"/>
          </reference>
        </references>
      </pivotArea>
    </format>
    <format dxfId="32">
      <pivotArea dataOnly="0" labelOnly="1" fieldPosition="0">
        <references count="2">
          <reference field="0" count="2">
            <x v="1"/>
            <x v="2"/>
          </reference>
          <reference field="2" count="1" selected="0">
            <x v="3"/>
          </reference>
        </references>
      </pivotArea>
    </format>
    <format dxfId="31">
      <pivotArea dataOnly="0" labelOnly="1" fieldPosition="0">
        <references count="2">
          <reference field="0" count="2">
            <x v="1"/>
            <x v="2"/>
          </reference>
          <reference field="2" count="1" selected="0">
            <x v="4"/>
          </reference>
        </references>
      </pivotArea>
    </format>
    <format dxfId="30">
      <pivotArea dataOnly="0" labelOnly="1" fieldPosition="0">
        <references count="2">
          <reference field="0" count="2">
            <x v="1"/>
            <x v="2"/>
          </reference>
          <reference field="2" count="1" selected="0">
            <x v="5"/>
          </reference>
        </references>
      </pivotArea>
    </format>
    <format dxfId="29">
      <pivotArea dataOnly="0" labelOnly="1" fieldPosition="0">
        <references count="2">
          <reference field="0" count="2">
            <x v="1"/>
            <x v="2"/>
          </reference>
          <reference field="2" count="1" selected="0">
            <x v="6"/>
          </reference>
        </references>
      </pivotArea>
    </format>
    <format dxfId="28">
      <pivotArea dataOnly="0" labelOnly="1" fieldPosition="0">
        <references count="2">
          <reference field="0" count="1">
            <x v="1"/>
          </reference>
          <reference field="2" count="1" selected="0">
            <x v="7"/>
          </reference>
        </references>
      </pivotArea>
    </format>
    <format dxfId="27">
      <pivotArea dataOnly="0" labelOnly="1" fieldPosition="0">
        <references count="2">
          <reference field="0" count="2">
            <x v="1"/>
            <x v="2"/>
          </reference>
          <reference field="2" count="1" selected="0">
            <x v="8"/>
          </reference>
        </references>
      </pivotArea>
    </format>
    <format dxfId="26">
      <pivotArea dataOnly="0" labelOnly="1" fieldPosition="0">
        <references count="2">
          <reference field="0" count="2">
            <x v="1"/>
            <x v="2"/>
          </reference>
          <reference field="2" count="1" selected="0">
            <x v="9"/>
          </reference>
        </references>
      </pivotArea>
    </format>
    <format dxfId="25">
      <pivotArea dataOnly="0" labelOnly="1" fieldPosition="0">
        <references count="2">
          <reference field="0" count="2">
            <x v="1"/>
            <x v="2"/>
          </reference>
          <reference field="2" count="1" selected="0">
            <x v="10"/>
          </reference>
        </references>
      </pivotArea>
    </format>
    <format dxfId="24">
      <pivotArea dataOnly="0" labelOnly="1" fieldPosition="0">
        <references count="1">
          <reference field="3" count="0"/>
        </references>
      </pivotArea>
    </format>
    <format dxfId="23">
      <pivotArea field="3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22">
      <pivotArea field="3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2">
          <reference field="4294967294" count="2">
            <x v="0"/>
            <x v="1"/>
          </reference>
          <reference field="3" count="1" selected="0">
            <x v="0"/>
          </reference>
        </references>
      </pivotArea>
    </format>
    <format dxfId="20">
      <pivotArea dataOnly="0" labelOnly="1" outline="0" fieldPosition="0">
        <references count="2">
          <reference field="4294967294" count="2">
            <x v="0"/>
            <x v="1"/>
          </reference>
          <reference field="3" count="1" selected="0">
            <x v="1"/>
          </reference>
        </references>
      </pivotArea>
    </format>
    <format dxfId="19">
      <pivotArea dataOnly="0" labelOnly="1" outline="0" fieldPosition="0">
        <references count="2">
          <reference field="4294967294" count="2">
            <x v="0"/>
            <x v="1"/>
          </reference>
          <reference field="3" count="1" selected="0">
            <x v="2"/>
          </reference>
        </references>
      </pivotArea>
    </format>
    <format dxfId="18">
      <pivotArea dataOnly="0" labelOnly="1" outline="0" fieldPosition="0">
        <references count="2">
          <reference field="4294967294" count="2">
            <x v="0"/>
            <x v="1"/>
          </reference>
          <reference field="3" count="1" selected="0">
            <x v="3"/>
          </reference>
        </references>
      </pivotArea>
    </format>
    <format dxfId="17">
      <pivotArea outline="0" collapsedLevelsAreSubtotals="1" fieldPosition="0"/>
    </format>
    <format dxfId="16">
      <pivotArea dataOnly="0" labelOnly="1" fieldPosition="0">
        <references count="1">
          <reference field="2" count="0"/>
        </references>
      </pivotArea>
    </format>
    <format dxfId="15">
      <pivotArea dataOnly="0" labelOnly="1" grandRow="1" outline="0" fieldPosition="0"/>
    </format>
    <format dxfId="14">
      <pivotArea dataOnly="0" labelOnly="1" fieldPosition="0">
        <references count="2">
          <reference field="0" count="2">
            <x v="1"/>
            <x v="2"/>
          </reference>
          <reference field="2" count="1" selected="0">
            <x v="0"/>
          </reference>
        </references>
      </pivotArea>
    </format>
    <format dxfId="13">
      <pivotArea dataOnly="0" labelOnly="1" fieldPosition="0">
        <references count="2">
          <reference field="0" count="2">
            <x v="1"/>
            <x v="2"/>
          </reference>
          <reference field="2" count="1" selected="0">
            <x v="1"/>
          </reference>
        </references>
      </pivotArea>
    </format>
    <format dxfId="12">
      <pivotArea dataOnly="0" labelOnly="1" fieldPosition="0">
        <references count="2">
          <reference field="0" count="2">
            <x v="1"/>
            <x v="2"/>
          </reference>
          <reference field="2" count="1" selected="0">
            <x v="2"/>
          </reference>
        </references>
      </pivotArea>
    </format>
    <format dxfId="11">
      <pivotArea dataOnly="0" labelOnly="1" fieldPosition="0">
        <references count="2">
          <reference field="0" count="2">
            <x v="1"/>
            <x v="2"/>
          </reference>
          <reference field="2" count="1" selected="0">
            <x v="3"/>
          </reference>
        </references>
      </pivotArea>
    </format>
    <format dxfId="10">
      <pivotArea dataOnly="0" labelOnly="1" fieldPosition="0">
        <references count="2">
          <reference field="0" count="2">
            <x v="1"/>
            <x v="2"/>
          </reference>
          <reference field="2" count="1" selected="0">
            <x v="4"/>
          </reference>
        </references>
      </pivotArea>
    </format>
    <format dxfId="9">
      <pivotArea dataOnly="0" labelOnly="1" fieldPosition="0">
        <references count="2">
          <reference field="0" count="2">
            <x v="1"/>
            <x v="2"/>
          </reference>
          <reference field="2" count="1" selected="0">
            <x v="5"/>
          </reference>
        </references>
      </pivotArea>
    </format>
    <format dxfId="8">
      <pivotArea dataOnly="0" labelOnly="1" fieldPosition="0">
        <references count="2">
          <reference field="0" count="2">
            <x v="1"/>
            <x v="2"/>
          </reference>
          <reference field="2" count="1" selected="0">
            <x v="6"/>
          </reference>
        </references>
      </pivotArea>
    </format>
    <format dxfId="7">
      <pivotArea dataOnly="0" labelOnly="1" fieldPosition="0">
        <references count="2">
          <reference field="0" count="1">
            <x v="1"/>
          </reference>
          <reference field="2" count="1" selected="0">
            <x v="7"/>
          </reference>
        </references>
      </pivotArea>
    </format>
    <format dxfId="6">
      <pivotArea dataOnly="0" labelOnly="1" fieldPosition="0">
        <references count="2">
          <reference field="0" count="2">
            <x v="1"/>
            <x v="2"/>
          </reference>
          <reference field="2" count="1" selected="0">
            <x v="8"/>
          </reference>
        </references>
      </pivotArea>
    </format>
    <format dxfId="5">
      <pivotArea dataOnly="0" labelOnly="1" fieldPosition="0">
        <references count="2">
          <reference field="0" count="2">
            <x v="1"/>
            <x v="2"/>
          </reference>
          <reference field="2" count="1" selected="0">
            <x v="9"/>
          </reference>
        </references>
      </pivotArea>
    </format>
    <format dxfId="4">
      <pivotArea dataOnly="0" labelOnly="1" fieldPosition="0">
        <references count="2">
          <reference field="0" count="2">
            <x v="1"/>
            <x v="2"/>
          </reference>
          <reference field="2" count="1" selected="0">
            <x v="1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36"/>
  <sheetViews>
    <sheetView tabSelected="1" topLeftCell="A14" zoomScale="96" zoomScaleNormal="96" workbookViewId="0">
      <selection activeCell="F37" sqref="F37"/>
    </sheetView>
  </sheetViews>
  <sheetFormatPr baseColWidth="10" defaultColWidth="9" defaultRowHeight="15" x14ac:dyDescent="0.2"/>
  <cols>
    <col min="1" max="1" width="31.83203125" bestFit="1" customWidth="1"/>
    <col min="2" max="2" width="25.83203125" customWidth="1"/>
    <col min="3" max="3" width="26.33203125" customWidth="1"/>
    <col min="4" max="6" width="22.83203125" customWidth="1"/>
  </cols>
  <sheetData>
    <row r="1" spans="1:6" ht="18" customHeight="1" x14ac:dyDescent="0.2"/>
    <row r="2" spans="1:6" ht="18" customHeight="1" x14ac:dyDescent="0.2"/>
    <row r="3" spans="1:6" ht="18" customHeight="1" x14ac:dyDescent="0.2">
      <c r="A3" s="43" t="s">
        <v>41</v>
      </c>
      <c r="B3" s="43" t="s">
        <v>42</v>
      </c>
      <c r="C3" s="43" t="s">
        <v>43</v>
      </c>
      <c r="D3" s="43" t="s">
        <v>44</v>
      </c>
      <c r="E3" s="43" t="s">
        <v>45</v>
      </c>
      <c r="F3" s="43" t="s">
        <v>46</v>
      </c>
    </row>
    <row r="4" spans="1:6" ht="18" customHeight="1" x14ac:dyDescent="0.2">
      <c r="A4" s="43" t="s">
        <v>47</v>
      </c>
      <c r="B4" s="66">
        <v>4507</v>
      </c>
      <c r="C4" s="66">
        <f>B4*C27</f>
        <v>4731.8993</v>
      </c>
      <c r="D4" s="66">
        <f>C4*C27</f>
        <v>4968.0210750700007</v>
      </c>
      <c r="E4" s="66">
        <f>D4*C27</f>
        <v>5215.9253267159938</v>
      </c>
      <c r="F4" s="66">
        <f>E4*C27</f>
        <v>5476.2000005191221</v>
      </c>
    </row>
    <row r="5" spans="1:6" ht="18" customHeight="1" x14ac:dyDescent="0.2">
      <c r="A5" s="43" t="s">
        <v>48</v>
      </c>
      <c r="B5" s="66">
        <v>3841</v>
      </c>
      <c r="C5" s="66">
        <f>B5*C28</f>
        <v>4207.8154999999997</v>
      </c>
      <c r="D5" s="66">
        <f>C5*C28</f>
        <v>4609.6618802499997</v>
      </c>
      <c r="E5" s="66">
        <f>D5*C28</f>
        <v>5049.8845898138743</v>
      </c>
      <c r="F5" s="66">
        <f>E5*C28</f>
        <v>5532.1485681410986</v>
      </c>
    </row>
    <row r="6" spans="1:6" ht="18" customHeight="1" x14ac:dyDescent="0.2">
      <c r="A6" s="43" t="s">
        <v>49</v>
      </c>
      <c r="B6" s="66">
        <v>2652</v>
      </c>
      <c r="C6" s="66">
        <f>B6*C29</f>
        <v>2754.1019999999999</v>
      </c>
      <c r="D6" s="66">
        <f>C6*C29</f>
        <v>2860.1349269999996</v>
      </c>
      <c r="E6" s="66">
        <f>D6*C29</f>
        <v>2970.2501216894993</v>
      </c>
      <c r="F6" s="66">
        <f>E6*C29</f>
        <v>3084.6047513745448</v>
      </c>
    </row>
    <row r="7" spans="1:6" ht="18" customHeight="1" x14ac:dyDescent="0.2">
      <c r="A7" s="45" t="s">
        <v>50</v>
      </c>
      <c r="B7" s="67">
        <f>SUM(B4:B6)</f>
        <v>11000</v>
      </c>
      <c r="C7" s="67">
        <f>SUM(C4:C6)</f>
        <v>11693.816800000001</v>
      </c>
      <c r="D7" s="67">
        <f>SUM(D4:D6)</f>
        <v>12437.81788232</v>
      </c>
      <c r="E7" s="67">
        <f>SUM(E4:E6)</f>
        <v>13236.060038219368</v>
      </c>
      <c r="F7" s="67">
        <f>SUM(F4:F6)</f>
        <v>14092.953320034767</v>
      </c>
    </row>
    <row r="8" spans="1:6" ht="18" customHeight="1" x14ac:dyDescent="0.2">
      <c r="A8" s="43"/>
      <c r="B8" s="66"/>
      <c r="C8" s="66"/>
      <c r="D8" s="66"/>
      <c r="E8" s="66"/>
      <c r="F8" s="66"/>
    </row>
    <row r="9" spans="1:6" ht="18" customHeight="1" x14ac:dyDescent="0.2">
      <c r="A9" s="43" t="s">
        <v>51</v>
      </c>
      <c r="B9" s="66"/>
      <c r="C9" s="66"/>
      <c r="D9" s="66"/>
      <c r="E9" s="66"/>
      <c r="F9" s="66"/>
    </row>
    <row r="10" spans="1:6" ht="18" customHeight="1" x14ac:dyDescent="0.2">
      <c r="A10" s="43" t="s">
        <v>52</v>
      </c>
      <c r="B10" s="66">
        <v>4400</v>
      </c>
      <c r="C10" s="66">
        <f>C7*C34</f>
        <v>4677.5267200000008</v>
      </c>
      <c r="D10" s="66">
        <f>D7*C34</f>
        <v>4975.1271529280002</v>
      </c>
      <c r="E10" s="66">
        <f>E7*C34</f>
        <v>5294.4240152877474</v>
      </c>
      <c r="F10" s="66">
        <f>F7*C34</f>
        <v>5637.1813280139068</v>
      </c>
    </row>
    <row r="11" spans="1:6" ht="18" customHeight="1" x14ac:dyDescent="0.2">
      <c r="A11" s="43" t="s">
        <v>53</v>
      </c>
      <c r="B11" s="66">
        <v>3500</v>
      </c>
      <c r="C11" s="66">
        <v>3500</v>
      </c>
      <c r="D11" s="66">
        <v>3500</v>
      </c>
      <c r="E11" s="66">
        <v>3500</v>
      </c>
      <c r="F11" s="66">
        <v>3500</v>
      </c>
    </row>
    <row r="12" spans="1:6" ht="18" customHeight="1" x14ac:dyDescent="0.2">
      <c r="A12" s="43" t="s">
        <v>54</v>
      </c>
      <c r="B12" s="66">
        <v>550</v>
      </c>
      <c r="C12" s="66">
        <f>C7*C35</f>
        <v>584.69084000000009</v>
      </c>
      <c r="D12" s="66">
        <f>D7*C35</f>
        <v>621.89089411600003</v>
      </c>
      <c r="E12" s="66">
        <f>E7*C35</f>
        <v>661.80300191096842</v>
      </c>
      <c r="F12" s="66">
        <f>F7*C35</f>
        <v>704.64766600173834</v>
      </c>
    </row>
    <row r="13" spans="1:6" ht="18" customHeight="1" x14ac:dyDescent="0.2">
      <c r="A13" s="43" t="s">
        <v>4</v>
      </c>
      <c r="B13" s="66">
        <v>1544</v>
      </c>
      <c r="C13" s="66">
        <f>B13*C30</f>
        <v>1650.2272</v>
      </c>
      <c r="D13" s="66">
        <f>C13*C30</f>
        <v>1763.7628313600001</v>
      </c>
      <c r="E13" s="66">
        <f>D13*C30</f>
        <v>1885.1097141575681</v>
      </c>
      <c r="F13" s="66">
        <f>E13*C30</f>
        <v>2014.8052624916088</v>
      </c>
    </row>
    <row r="14" spans="1:6" ht="18" customHeight="1" x14ac:dyDescent="0.2">
      <c r="A14" s="43" t="s">
        <v>5</v>
      </c>
      <c r="B14" s="66">
        <v>788</v>
      </c>
      <c r="C14" s="66">
        <f>B14*C31</f>
        <v>804.3904</v>
      </c>
      <c r="D14" s="66">
        <f>C14*C31</f>
        <v>821.12172031999989</v>
      </c>
      <c r="E14" s="66">
        <f>D14*C31</f>
        <v>838.20105210265581</v>
      </c>
      <c r="F14" s="66">
        <f>E14*C31</f>
        <v>855.63563398639099</v>
      </c>
    </row>
    <row r="15" spans="1:6" ht="18" customHeight="1" x14ac:dyDescent="0.2">
      <c r="A15" s="43" t="s">
        <v>55</v>
      </c>
      <c r="B15" s="66">
        <v>928</v>
      </c>
      <c r="C15" s="66">
        <f>B15*C32</f>
        <v>965.21280000000002</v>
      </c>
      <c r="D15" s="66">
        <f>C15*C32</f>
        <v>1003.9178332800001</v>
      </c>
      <c r="E15" s="66">
        <f>D15*C32</f>
        <v>1044.174938394528</v>
      </c>
      <c r="F15" s="66">
        <f>E15*C32</f>
        <v>1086.0463534241485</v>
      </c>
    </row>
    <row r="16" spans="1:6" ht="18" customHeight="1" x14ac:dyDescent="0.2">
      <c r="A16" s="45" t="s">
        <v>56</v>
      </c>
      <c r="B16" s="67">
        <f>SUM(B10:B15)</f>
        <v>11710</v>
      </c>
      <c r="C16" s="67">
        <f>SUM(C10:C15)</f>
        <v>12182.04796</v>
      </c>
      <c r="D16" s="67">
        <f>SUM(D10:D15)</f>
        <v>12685.820432004</v>
      </c>
      <c r="E16" s="67">
        <f>SUM(E10:E15)</f>
        <v>13223.712721853466</v>
      </c>
      <c r="F16" s="67">
        <f>SUM(F10:F15)</f>
        <v>13798.316243917792</v>
      </c>
    </row>
    <row r="17" spans="1:6" ht="18" customHeight="1" x14ac:dyDescent="0.2">
      <c r="A17" s="43"/>
      <c r="B17" s="68"/>
      <c r="C17" s="68"/>
      <c r="D17" s="68"/>
      <c r="E17" s="68"/>
      <c r="F17" s="68"/>
    </row>
    <row r="18" spans="1:6" ht="18" customHeight="1" x14ac:dyDescent="0.2">
      <c r="A18" s="43" t="s">
        <v>57</v>
      </c>
      <c r="B18" s="68">
        <f>B7-B16</f>
        <v>-710</v>
      </c>
      <c r="C18" s="68">
        <f>C7-C16</f>
        <v>-488.23115999999936</v>
      </c>
      <c r="D18" s="68">
        <f>D7-D16</f>
        <v>-248.00254968400077</v>
      </c>
      <c r="E18" s="68">
        <f>E7-E16</f>
        <v>12.347316365901861</v>
      </c>
      <c r="F18" s="68">
        <f>F7-F16</f>
        <v>294.63707611697464</v>
      </c>
    </row>
    <row r="19" spans="1:6" ht="18" customHeight="1" x14ac:dyDescent="0.2">
      <c r="A19" s="43" t="s">
        <v>58</v>
      </c>
      <c r="B19" s="68">
        <v>0</v>
      </c>
      <c r="C19" s="68">
        <v>0</v>
      </c>
      <c r="D19" s="68">
        <v>0</v>
      </c>
      <c r="E19" s="68">
        <v>3.4572485824519998</v>
      </c>
      <c r="F19" s="68">
        <v>82.498381312754006</v>
      </c>
    </row>
    <row r="20" spans="1:6" ht="18" customHeight="1" x14ac:dyDescent="0.2">
      <c r="A20" s="43" t="s">
        <v>59</v>
      </c>
      <c r="B20" s="68">
        <v>-710</v>
      </c>
      <c r="C20" s="68">
        <f>C18-C19</f>
        <v>-488.23115999999936</v>
      </c>
      <c r="D20" s="68">
        <f>D18-D19</f>
        <v>-248.00254968400077</v>
      </c>
      <c r="E20" s="68">
        <f>E18-E19</f>
        <v>8.8900677834498616</v>
      </c>
      <c r="F20" s="68">
        <f>F18-F19</f>
        <v>212.13869480422062</v>
      </c>
    </row>
    <row r="21" spans="1:6" ht="16" x14ac:dyDescent="0.2">
      <c r="A21" s="1"/>
      <c r="B21" s="1"/>
      <c r="C21" s="1"/>
      <c r="D21" s="1"/>
      <c r="E21" s="1"/>
      <c r="F21" s="1"/>
    </row>
    <row r="25" spans="1:6" ht="16" thickBot="1" x14ac:dyDescent="0.25"/>
    <row r="26" spans="1:6" ht="20" thickTop="1" thickBot="1" x14ac:dyDescent="0.25">
      <c r="A26" s="40" t="s">
        <v>60</v>
      </c>
      <c r="B26" s="41" t="s">
        <v>61</v>
      </c>
      <c r="C26" s="42" t="s">
        <v>75</v>
      </c>
    </row>
    <row r="27" spans="1:6" ht="20" thickTop="1" thickBot="1" x14ac:dyDescent="0.25">
      <c r="A27" s="40" t="s">
        <v>47</v>
      </c>
      <c r="B27" s="55">
        <f>VLOOKUP(22,'GROUP ASSIGNMENTS'!A1:H37,2,FALSE)</f>
        <v>4.99</v>
      </c>
      <c r="C27" s="56">
        <v>1.0499000000000001</v>
      </c>
    </row>
    <row r="28" spans="1:6" ht="20" thickTop="1" thickBot="1" x14ac:dyDescent="0.25">
      <c r="A28" s="40" t="s">
        <v>48</v>
      </c>
      <c r="B28" s="57">
        <f>VLOOKUP(22,'GROUP ASSIGNMENTS'!A1:H37,3,FALSE)</f>
        <v>9.5500000000000007</v>
      </c>
      <c r="C28" s="56">
        <v>1.0954999999999999</v>
      </c>
    </row>
    <row r="29" spans="1:6" ht="20" thickTop="1" thickBot="1" x14ac:dyDescent="0.25">
      <c r="A29" s="40" t="s">
        <v>49</v>
      </c>
      <c r="B29" s="57">
        <f>VLOOKUP(22,'GROUP ASSIGNMENTS'!A1:H37,4,FALSE)</f>
        <v>3.85</v>
      </c>
      <c r="C29" s="56">
        <v>1.0385</v>
      </c>
    </row>
    <row r="30" spans="1:6" ht="20" thickTop="1" thickBot="1" x14ac:dyDescent="0.25">
      <c r="A30" s="40" t="s">
        <v>4</v>
      </c>
      <c r="B30" s="57">
        <f>VLOOKUP(22,'GROUP ASSIGNMENTS'!A1:H37,5,FALSE)</f>
        <v>6.88</v>
      </c>
      <c r="C30" s="56">
        <v>1.0688</v>
      </c>
      <c r="E30" s="39"/>
    </row>
    <row r="31" spans="1:6" ht="20" thickTop="1" thickBot="1" x14ac:dyDescent="0.25">
      <c r="A31" s="40" t="s">
        <v>5</v>
      </c>
      <c r="B31" s="57">
        <f>VLOOKUP(22,'GROUP ASSIGNMENTS'!A1:H37,6,FALSE)</f>
        <v>2.08</v>
      </c>
      <c r="C31" s="56">
        <v>1.0207999999999999</v>
      </c>
    </row>
    <row r="32" spans="1:6" ht="20" thickTop="1" thickBot="1" x14ac:dyDescent="0.25">
      <c r="A32" s="40" t="s">
        <v>55</v>
      </c>
      <c r="B32" s="57">
        <f>VLOOKUP(22,'GROUP ASSIGNMENTS'!A1:H37,7,FALSE)</f>
        <v>4.01</v>
      </c>
      <c r="C32" s="56">
        <v>1.0401</v>
      </c>
    </row>
    <row r="33" spans="1:3" ht="20" thickTop="1" thickBot="1" x14ac:dyDescent="0.25">
      <c r="A33" s="40" t="s">
        <v>62</v>
      </c>
      <c r="B33" s="57">
        <f>VLOOKUP(22,'GROUP ASSIGNMENTS'!A1:H37,8,FALSE)</f>
        <v>20.86</v>
      </c>
      <c r="C33" s="56">
        <v>1.2085999999999999</v>
      </c>
    </row>
    <row r="34" spans="1:3" ht="20" thickTop="1" thickBot="1" x14ac:dyDescent="0.25">
      <c r="A34" s="40" t="s">
        <v>52</v>
      </c>
      <c r="B34" s="56">
        <v>40</v>
      </c>
      <c r="C34" s="56">
        <v>0.4</v>
      </c>
    </row>
    <row r="35" spans="1:3" ht="20" thickTop="1" thickBot="1" x14ac:dyDescent="0.25">
      <c r="A35" s="40" t="s">
        <v>54</v>
      </c>
      <c r="B35" s="51">
        <v>5</v>
      </c>
      <c r="C35" s="51">
        <v>0.05</v>
      </c>
    </row>
    <row r="36" spans="1:3" ht="16" thickTop="1" x14ac:dyDescent="0.2"/>
  </sheetData>
  <conditionalFormatting sqref="B18:F20">
    <cfRule type="cellIs" dxfId="3" priority="2" operator="lessThan">
      <formula>0</formula>
    </cfRule>
  </conditionalFormatting>
  <conditionalFormatting sqref="E18:F20">
    <cfRule type="cellIs" dxfId="2" priority="1" operator="greaterThan">
      <formula>0</formula>
    </cfRule>
  </conditionalFormatting>
  <pageMargins left="0.7" right="0.7" top="0.75" bottom="0.75" header="0.3" footer="0.3"/>
  <pageSetup scale="55" orientation="portrait"/>
  <headerFooter scaleWithDoc="0" alignWithMargins="0">
    <oddFooter>&amp;L&amp;"Arial,Regular"&amp;14&amp;K000000Aman Mohammad&amp;C&amp;"Arial,Regular"&amp;14&amp;K000000ALAN NIKAJ&amp;R&amp;"Arial,Regular"&amp;16Jake Morales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9D336-0731-3346-B0F7-2660FC526347}">
  <dimension ref="A1"/>
  <sheetViews>
    <sheetView zoomScaleNormal="100" zoomScalePageLayoutView="75" workbookViewId="0">
      <selection activeCell="N39" sqref="N39"/>
    </sheetView>
  </sheetViews>
  <sheetFormatPr baseColWidth="10" defaultRowHeight="15" x14ac:dyDescent="0.2"/>
  <sheetData/>
  <pageMargins left="0.7" right="0.7" top="0.75" bottom="0.75" header="0.3" footer="0.3"/>
  <pageSetup scale="56" orientation="portrait" horizontalDpi="0" verticalDpi="0"/>
  <headerFooter>
    <oddFooter>&amp;L&amp;"Arial,Bold"&amp;16Aman Mohammad&amp;C&amp;"Arial,Bold"&amp;16Alan Nikaj&amp;R&amp;"Arial,Bold"&amp;16Jake Morales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F3783-C9E7-1940-A1B2-D86A9B1E9D3C}">
  <dimension ref="A1"/>
  <sheetViews>
    <sheetView zoomScaleNormal="100" workbookViewId="0">
      <selection activeCell="J33" sqref="J33"/>
    </sheetView>
  </sheetViews>
  <sheetFormatPr baseColWidth="10" defaultRowHeight="15" x14ac:dyDescent="0.2"/>
  <sheetData/>
  <pageMargins left="0.7" right="0.7" top="0.75" bottom="0.75" header="0.3" footer="0.3"/>
  <pageSetup scale="65" orientation="portrait" horizontalDpi="0" verticalDpi="0"/>
  <headerFooter>
    <oddFooter>&amp;L&amp;"Arial,Bold"&amp;16Aman Mohammad&amp;C&amp;"Arial,Bold"&amp;16Alan Nikaj&amp;R&amp;"Arial,Bold"&amp;16&amp;K000000Jake Morales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FC1B9-0685-2F4B-9819-BD74F5BDF101}">
  <dimension ref="A1:J36"/>
  <sheetViews>
    <sheetView topLeftCell="A22" zoomScaleNormal="100" workbookViewId="0">
      <selection activeCell="B39" sqref="B39"/>
    </sheetView>
  </sheetViews>
  <sheetFormatPr baseColWidth="10" defaultColWidth="9" defaultRowHeight="15" x14ac:dyDescent="0.2"/>
  <cols>
    <col min="1" max="1" width="39.33203125" bestFit="1" customWidth="1"/>
    <col min="2" max="4" width="18.83203125" customWidth="1"/>
    <col min="5" max="5" width="21.83203125" customWidth="1"/>
    <col min="6" max="6" width="23.5" bestFit="1" customWidth="1"/>
    <col min="9" max="9" width="15.6640625" bestFit="1" customWidth="1"/>
  </cols>
  <sheetData>
    <row r="1" spans="1:6" ht="18" customHeight="1" x14ac:dyDescent="0.2"/>
    <row r="2" spans="1:6" ht="18" customHeight="1" x14ac:dyDescent="0.2"/>
    <row r="3" spans="1:6" ht="18" customHeight="1" x14ac:dyDescent="0.2">
      <c r="A3" s="43" t="s">
        <v>41</v>
      </c>
      <c r="B3" s="43" t="s">
        <v>42</v>
      </c>
      <c r="C3" s="43" t="s">
        <v>43</v>
      </c>
      <c r="D3" s="43" t="s">
        <v>44</v>
      </c>
      <c r="E3" s="43" t="s">
        <v>45</v>
      </c>
      <c r="F3" s="43" t="s">
        <v>46</v>
      </c>
    </row>
    <row r="4" spans="1:6" ht="18" customHeight="1" x14ac:dyDescent="0.2">
      <c r="A4" s="43" t="s">
        <v>47</v>
      </c>
      <c r="B4" s="52">
        <v>4507</v>
      </c>
      <c r="C4" s="52">
        <f>B4*C27</f>
        <v>4731.8993</v>
      </c>
      <c r="D4" s="52">
        <f>C4*C27</f>
        <v>4968.0210750700007</v>
      </c>
      <c r="E4" s="52">
        <f>D4*C27</f>
        <v>5215.9253267159938</v>
      </c>
      <c r="F4" s="52">
        <f>E4*C27</f>
        <v>5476.2000005191221</v>
      </c>
    </row>
    <row r="5" spans="1:6" ht="18" customHeight="1" x14ac:dyDescent="0.2">
      <c r="A5" s="43" t="s">
        <v>48</v>
      </c>
      <c r="B5" s="52">
        <v>3841</v>
      </c>
      <c r="C5" s="52">
        <f>B5*C28</f>
        <v>4207.8154999999997</v>
      </c>
      <c r="D5" s="52">
        <f>C5*C28</f>
        <v>4609.6618802499997</v>
      </c>
      <c r="E5" s="52">
        <f>D5*C28</f>
        <v>5049.8845898138743</v>
      </c>
      <c r="F5" s="52">
        <f>E5*C28</f>
        <v>5532.1485681410986</v>
      </c>
    </row>
    <row r="6" spans="1:6" ht="18" customHeight="1" x14ac:dyDescent="0.2">
      <c r="A6" s="43" t="s">
        <v>49</v>
      </c>
      <c r="B6" s="52">
        <v>2652</v>
      </c>
      <c r="C6" s="52">
        <f>B6*C29</f>
        <v>2754.1019999999999</v>
      </c>
      <c r="D6" s="52">
        <f>C6*C29</f>
        <v>2860.1349269999996</v>
      </c>
      <c r="E6" s="52">
        <f>D6*C29</f>
        <v>2970.2501216894993</v>
      </c>
      <c r="F6" s="52">
        <f>E6*C29</f>
        <v>3084.6047513745448</v>
      </c>
    </row>
    <row r="7" spans="1:6" ht="18" customHeight="1" x14ac:dyDescent="0.2">
      <c r="A7" s="45" t="s">
        <v>50</v>
      </c>
      <c r="B7" s="53">
        <f>SUM(B4:B6)</f>
        <v>11000</v>
      </c>
      <c r="C7" s="53">
        <f>SUM(C4:C6)</f>
        <v>11693.816800000001</v>
      </c>
      <c r="D7" s="53">
        <f>SUM(D4:D6)</f>
        <v>12437.81788232</v>
      </c>
      <c r="E7" s="53">
        <f>SUM(E4:E6)</f>
        <v>13236.060038219368</v>
      </c>
      <c r="F7" s="53">
        <f>SUM(F4:F6)</f>
        <v>14092.953320034767</v>
      </c>
    </row>
    <row r="8" spans="1:6" ht="18" customHeight="1" x14ac:dyDescent="0.2">
      <c r="A8" s="43"/>
      <c r="B8" s="52"/>
      <c r="C8" s="52"/>
      <c r="D8" s="52"/>
      <c r="E8" s="52"/>
      <c r="F8" s="52"/>
    </row>
    <row r="9" spans="1:6" ht="18" customHeight="1" x14ac:dyDescent="0.2">
      <c r="A9" s="43" t="s">
        <v>51</v>
      </c>
      <c r="B9" s="52"/>
      <c r="C9" s="52"/>
      <c r="D9" s="52"/>
      <c r="E9" s="52"/>
      <c r="F9" s="52"/>
    </row>
    <row r="10" spans="1:6" ht="18" customHeight="1" x14ac:dyDescent="0.2">
      <c r="A10" s="43" t="s">
        <v>52</v>
      </c>
      <c r="B10" s="52">
        <v>4400</v>
      </c>
      <c r="C10" s="52">
        <f>C7*C34</f>
        <v>4677.5267200000008</v>
      </c>
      <c r="D10" s="52">
        <f>D7*C34</f>
        <v>4975.1271529280002</v>
      </c>
      <c r="E10" s="52">
        <f>E7*C34</f>
        <v>5294.4240152877474</v>
      </c>
      <c r="F10" s="52">
        <f>F7*C34</f>
        <v>5637.1813280139068</v>
      </c>
    </row>
    <row r="11" spans="1:6" ht="18" customHeight="1" x14ac:dyDescent="0.2">
      <c r="A11" s="43" t="s">
        <v>53</v>
      </c>
      <c r="B11" s="52">
        <v>3500</v>
      </c>
      <c r="C11" s="52">
        <v>3500</v>
      </c>
      <c r="D11" s="52">
        <v>3500</v>
      </c>
      <c r="E11" s="52">
        <v>3500</v>
      </c>
      <c r="F11" s="52">
        <v>3500</v>
      </c>
    </row>
    <row r="12" spans="1:6" ht="18" customHeight="1" x14ac:dyDescent="0.2">
      <c r="A12" s="43" t="s">
        <v>54</v>
      </c>
      <c r="B12" s="52">
        <v>550</v>
      </c>
      <c r="C12" s="52">
        <f>C7*C35</f>
        <v>584.69084000000009</v>
      </c>
      <c r="D12" s="52">
        <f>D7*C35</f>
        <v>621.89089411600003</v>
      </c>
      <c r="E12" s="52">
        <f>E7*C35</f>
        <v>661.80300191096842</v>
      </c>
      <c r="F12" s="52">
        <f>F7*C35</f>
        <v>704.64766600173834</v>
      </c>
    </row>
    <row r="13" spans="1:6" ht="18" customHeight="1" x14ac:dyDescent="0.2">
      <c r="A13" s="43" t="s">
        <v>4</v>
      </c>
      <c r="B13" s="52">
        <v>1544</v>
      </c>
      <c r="C13" s="52">
        <f>B13*C30</f>
        <v>1650.2272</v>
      </c>
      <c r="D13" s="52">
        <f>C13*C30</f>
        <v>1763.7628313600001</v>
      </c>
      <c r="E13" s="52">
        <f>D13*C30</f>
        <v>1885.1097141575681</v>
      </c>
      <c r="F13" s="52">
        <f>E13*C30</f>
        <v>2014.8052624916088</v>
      </c>
    </row>
    <row r="14" spans="1:6" ht="18" customHeight="1" x14ac:dyDescent="0.2">
      <c r="A14" s="43" t="s">
        <v>5</v>
      </c>
      <c r="B14" s="52">
        <v>788</v>
      </c>
      <c r="C14" s="52">
        <f>B14*C31</f>
        <v>804.3904</v>
      </c>
      <c r="D14" s="52">
        <f>C14*C31</f>
        <v>821.12172031999989</v>
      </c>
      <c r="E14" s="52">
        <f>D14*C31</f>
        <v>838.20105210265581</v>
      </c>
      <c r="F14" s="52">
        <f>E14*C31</f>
        <v>855.63563398639099</v>
      </c>
    </row>
    <row r="15" spans="1:6" ht="18" customHeight="1" x14ac:dyDescent="0.2">
      <c r="A15" s="43" t="s">
        <v>55</v>
      </c>
      <c r="B15" s="52">
        <v>928</v>
      </c>
      <c r="C15" s="52">
        <f>B15*C32</f>
        <v>965.21280000000002</v>
      </c>
      <c r="D15" s="52">
        <f>C15*C32</f>
        <v>1003.9178332800001</v>
      </c>
      <c r="E15" s="52">
        <f>D15*C32</f>
        <v>1044.174938394528</v>
      </c>
      <c r="F15" s="52">
        <f>E15*C32</f>
        <v>1086.0463534241485</v>
      </c>
    </row>
    <row r="16" spans="1:6" ht="18" customHeight="1" x14ac:dyDescent="0.2">
      <c r="A16" s="45" t="s">
        <v>56</v>
      </c>
      <c r="B16" s="53">
        <f>SUM(B10:B15)</f>
        <v>11710</v>
      </c>
      <c r="C16" s="53">
        <f>SUM(C10:C15)</f>
        <v>12182.04796</v>
      </c>
      <c r="D16" s="53">
        <f>SUM(D10:D15)</f>
        <v>12685.820432004</v>
      </c>
      <c r="E16" s="53">
        <f>SUM(E10:E15)</f>
        <v>13223.712721853466</v>
      </c>
      <c r="F16" s="53">
        <f>SUM(F10:F15)</f>
        <v>13798.316243917792</v>
      </c>
    </row>
    <row r="17" spans="1:10" ht="18" customHeight="1" x14ac:dyDescent="0.2">
      <c r="A17" s="43"/>
      <c r="B17" s="44"/>
      <c r="C17" s="44"/>
      <c r="D17" s="44"/>
      <c r="E17" s="44"/>
      <c r="F17" s="44"/>
    </row>
    <row r="18" spans="1:10" ht="18" customHeight="1" x14ac:dyDescent="0.2">
      <c r="A18" s="43" t="s">
        <v>57</v>
      </c>
      <c r="B18" s="44">
        <f>B7-B16</f>
        <v>-710</v>
      </c>
      <c r="C18" s="44">
        <f>C7-C16</f>
        <v>-488.23115999999936</v>
      </c>
      <c r="D18" s="44">
        <f>D7-D16</f>
        <v>-248.00254968400077</v>
      </c>
      <c r="E18" s="44">
        <f>E7-E16</f>
        <v>12.347316365901861</v>
      </c>
      <c r="F18" s="44">
        <f>F7-F16</f>
        <v>294.63707611697464</v>
      </c>
    </row>
    <row r="19" spans="1:10" ht="18" customHeight="1" x14ac:dyDescent="0.2">
      <c r="A19" s="43" t="s">
        <v>58</v>
      </c>
      <c r="B19" s="44">
        <v>0</v>
      </c>
      <c r="C19" s="44">
        <v>0</v>
      </c>
      <c r="D19" s="44">
        <v>0</v>
      </c>
      <c r="E19" s="44">
        <v>3.4572485824519998</v>
      </c>
      <c r="F19" s="44">
        <v>82.498381312754006</v>
      </c>
    </row>
    <row r="20" spans="1:10" ht="18" customHeight="1" x14ac:dyDescent="0.2">
      <c r="A20" s="43" t="s">
        <v>59</v>
      </c>
      <c r="B20" s="44">
        <v>-710</v>
      </c>
      <c r="C20" s="44">
        <f>C18-C19</f>
        <v>-488.23115999999936</v>
      </c>
      <c r="D20" s="44">
        <f>D18-D19</f>
        <v>-248.00254968400077</v>
      </c>
      <c r="E20" s="44">
        <f>E18-E19</f>
        <v>8.8900677834498616</v>
      </c>
      <c r="F20" s="44">
        <f>F18-F19</f>
        <v>212.13869480422062</v>
      </c>
    </row>
    <row r="21" spans="1:10" ht="16" x14ac:dyDescent="0.2">
      <c r="A21" s="1"/>
      <c r="B21" s="1"/>
      <c r="C21" s="1"/>
      <c r="D21" s="1"/>
      <c r="E21" s="1"/>
      <c r="F21" s="1"/>
    </row>
    <row r="25" spans="1:10" ht="16" thickBot="1" x14ac:dyDescent="0.25"/>
    <row r="26" spans="1:10" ht="18" thickTop="1" thickBot="1" x14ac:dyDescent="0.25">
      <c r="A26" s="65" t="s">
        <v>74</v>
      </c>
      <c r="B26" s="41" t="s">
        <v>61</v>
      </c>
      <c r="C26" s="42" t="s">
        <v>75</v>
      </c>
      <c r="I26" s="54"/>
      <c r="J26" s="39"/>
    </row>
    <row r="27" spans="1:10" ht="20" thickTop="1" thickBot="1" x14ac:dyDescent="0.25">
      <c r="A27" s="40" t="s">
        <v>47</v>
      </c>
      <c r="B27" s="58">
        <v>5.0331738447371238E-2</v>
      </c>
      <c r="C27" s="56">
        <v>1.0499000000000001</v>
      </c>
    </row>
    <row r="28" spans="1:10" ht="20" thickTop="1" thickBot="1" x14ac:dyDescent="0.25">
      <c r="A28" s="40" t="s">
        <v>48</v>
      </c>
      <c r="B28" s="59">
        <v>9.7031004645503544E-2</v>
      </c>
      <c r="C28" s="56">
        <v>1.0954999999999999</v>
      </c>
    </row>
    <row r="29" spans="1:10" ht="20" thickTop="1" thickBot="1" x14ac:dyDescent="0.25">
      <c r="A29" s="40" t="s">
        <v>49</v>
      </c>
      <c r="B29" s="59">
        <v>3.8646353369132726E-2</v>
      </c>
      <c r="C29" s="56">
        <v>1.0385</v>
      </c>
    </row>
    <row r="30" spans="1:10" ht="20" thickTop="1" thickBot="1" x14ac:dyDescent="0.25">
      <c r="A30" s="40" t="s">
        <v>4</v>
      </c>
      <c r="B30" s="60">
        <v>6.8503379071117504E-2</v>
      </c>
      <c r="C30" s="56">
        <v>1.0688</v>
      </c>
      <c r="D30" s="62" t="s">
        <v>72</v>
      </c>
    </row>
    <row r="31" spans="1:10" ht="20" thickTop="1" thickBot="1" x14ac:dyDescent="0.25">
      <c r="A31" s="40" t="s">
        <v>5</v>
      </c>
      <c r="B31" s="60">
        <v>2.078794511426723E-2</v>
      </c>
      <c r="C31" s="56">
        <v>1.0207999999999999</v>
      </c>
      <c r="D31" s="63" t="s">
        <v>73</v>
      </c>
    </row>
    <row r="32" spans="1:10" ht="20" thickTop="1" thickBot="1" x14ac:dyDescent="0.25">
      <c r="A32" s="40" t="s">
        <v>55</v>
      </c>
      <c r="B32" s="60">
        <v>4.0044185085695939E-2</v>
      </c>
      <c r="C32" s="56">
        <v>1.0401</v>
      </c>
      <c r="D32" s="64"/>
    </row>
    <row r="33" spans="1:4" ht="20" thickTop="1" thickBot="1" x14ac:dyDescent="0.25">
      <c r="A33" s="40" t="s">
        <v>62</v>
      </c>
      <c r="B33" s="60">
        <v>0.20860000000000001</v>
      </c>
      <c r="C33" s="56">
        <v>1.2085999999999999</v>
      </c>
      <c r="D33" s="69">
        <f>F20*C33</f>
        <v>256.390826540381</v>
      </c>
    </row>
    <row r="34" spans="1:4" ht="20" thickTop="1" thickBot="1" x14ac:dyDescent="0.25">
      <c r="A34" s="40" t="s">
        <v>52</v>
      </c>
      <c r="B34" s="61">
        <v>0.4</v>
      </c>
      <c r="C34" s="56">
        <v>0.4</v>
      </c>
    </row>
    <row r="35" spans="1:4" ht="20" thickTop="1" thickBot="1" x14ac:dyDescent="0.25">
      <c r="A35" s="40" t="s">
        <v>54</v>
      </c>
      <c r="B35" s="61">
        <v>0.05</v>
      </c>
      <c r="C35" s="51">
        <v>0.05</v>
      </c>
    </row>
    <row r="36" spans="1:4" ht="16" thickTop="1" x14ac:dyDescent="0.2"/>
  </sheetData>
  <conditionalFormatting sqref="B18:F20">
    <cfRule type="cellIs" dxfId="1" priority="2" operator="lessThan">
      <formula>0</formula>
    </cfRule>
  </conditionalFormatting>
  <conditionalFormatting sqref="E18:F20">
    <cfRule type="cellIs" dxfId="0" priority="1" operator="greaterThan">
      <formula>0</formula>
    </cfRule>
  </conditionalFormatting>
  <pageMargins left="0.7" right="0.7" top="0.75" bottom="0.75" header="0.3" footer="0.3"/>
  <pageSetup scale="64" orientation="portrait"/>
  <headerFooter>
    <oddFooter>&amp;L&amp;"Arial,Regular"&amp;16Aman Mohammad&amp;C&amp;"Arial,Regular"&amp;16Alan Nikaj&amp;R&amp;"Arial,Regular"&amp;16Jake Morales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4"/>
  <sheetViews>
    <sheetView workbookViewId="0">
      <selection activeCell="H35" sqref="H35"/>
    </sheetView>
  </sheetViews>
  <sheetFormatPr baseColWidth="10" defaultColWidth="9" defaultRowHeight="16" x14ac:dyDescent="0.2"/>
  <cols>
    <col min="1" max="1" width="10.33203125" style="1" customWidth="1"/>
    <col min="2" max="2" width="9.83203125" style="1" customWidth="1"/>
    <col min="3" max="3" width="19.83203125" style="1" customWidth="1"/>
    <col min="4" max="4" width="13.83203125" style="1" customWidth="1"/>
    <col min="5" max="6" width="9.33203125" style="1" customWidth="1"/>
    <col min="7" max="7" width="10.6640625" style="1" customWidth="1"/>
  </cols>
  <sheetData>
    <row r="1" spans="1:7" ht="35.25" customHeight="1" x14ac:dyDescent="0.2">
      <c r="A1" s="2" t="s">
        <v>16</v>
      </c>
      <c r="B1" s="3" t="s">
        <v>17</v>
      </c>
      <c r="C1" s="3" t="s">
        <v>18</v>
      </c>
      <c r="D1" s="3" t="s">
        <v>19</v>
      </c>
      <c r="E1" s="4" t="s">
        <v>20</v>
      </c>
      <c r="F1" s="4" t="s">
        <v>21</v>
      </c>
      <c r="G1" s="5" t="s">
        <v>22</v>
      </c>
    </row>
    <row r="2" spans="1:7" ht="17" x14ac:dyDescent="0.2">
      <c r="A2" s="6">
        <v>43836</v>
      </c>
      <c r="B2" s="7" t="s">
        <v>23</v>
      </c>
      <c r="C2" s="7" t="s">
        <v>24</v>
      </c>
      <c r="D2" s="7" t="s">
        <v>25</v>
      </c>
      <c r="E2" s="8">
        <v>95</v>
      </c>
      <c r="F2" s="8">
        <v>1.99</v>
      </c>
      <c r="G2" s="9">
        <f>E2*100*F2</f>
        <v>18905</v>
      </c>
    </row>
    <row r="3" spans="1:7" ht="17" x14ac:dyDescent="0.2">
      <c r="A3" s="10">
        <v>43853</v>
      </c>
      <c r="B3" s="11" t="s">
        <v>26</v>
      </c>
      <c r="C3" s="11" t="s">
        <v>27</v>
      </c>
      <c r="D3" s="7" t="s">
        <v>28</v>
      </c>
      <c r="E3" s="12">
        <v>50</v>
      </c>
      <c r="F3" s="12">
        <v>3.49</v>
      </c>
      <c r="G3" s="9">
        <f t="shared" ref="G3:G44" si="0">E3*100*F3</f>
        <v>17450</v>
      </c>
    </row>
    <row r="4" spans="1:7" ht="17" x14ac:dyDescent="0.2">
      <c r="A4" s="10">
        <v>43870</v>
      </c>
      <c r="B4" s="11" t="s">
        <v>26</v>
      </c>
      <c r="C4" s="11" t="s">
        <v>29</v>
      </c>
      <c r="D4" s="7" t="s">
        <v>25</v>
      </c>
      <c r="E4" s="12">
        <v>36</v>
      </c>
      <c r="F4" s="12">
        <v>4.99</v>
      </c>
      <c r="G4" s="9">
        <f t="shared" si="0"/>
        <v>17964</v>
      </c>
    </row>
    <row r="5" spans="1:7" ht="17" x14ac:dyDescent="0.2">
      <c r="A5" s="10">
        <v>43887</v>
      </c>
      <c r="B5" s="11" t="s">
        <v>26</v>
      </c>
      <c r="C5" s="11" t="s">
        <v>30</v>
      </c>
      <c r="D5" s="7" t="s">
        <v>31</v>
      </c>
      <c r="E5" s="12">
        <v>27</v>
      </c>
      <c r="F5" s="12">
        <v>1.99</v>
      </c>
      <c r="G5" s="9">
        <f t="shared" si="0"/>
        <v>5373</v>
      </c>
    </row>
    <row r="6" spans="1:7" ht="17" x14ac:dyDescent="0.2">
      <c r="A6" s="10">
        <v>43905</v>
      </c>
      <c r="B6" s="11" t="s">
        <v>32</v>
      </c>
      <c r="C6" s="11" t="s">
        <v>33</v>
      </c>
      <c r="D6" s="7" t="s">
        <v>25</v>
      </c>
      <c r="E6" s="12">
        <v>56</v>
      </c>
      <c r="F6" s="12">
        <v>2.99</v>
      </c>
      <c r="G6" s="9">
        <f t="shared" si="0"/>
        <v>16744</v>
      </c>
    </row>
    <row r="7" spans="1:7" ht="17" x14ac:dyDescent="0.2">
      <c r="A7" s="10">
        <v>43922</v>
      </c>
      <c r="B7" s="11" t="s">
        <v>23</v>
      </c>
      <c r="C7" s="11" t="s">
        <v>24</v>
      </c>
      <c r="D7" s="7" t="s">
        <v>28</v>
      </c>
      <c r="E7" s="12">
        <v>60</v>
      </c>
      <c r="F7" s="12">
        <v>4.99</v>
      </c>
      <c r="G7" s="9">
        <f t="shared" si="0"/>
        <v>29940</v>
      </c>
    </row>
    <row r="8" spans="1:7" ht="17" x14ac:dyDescent="0.2">
      <c r="A8" s="10">
        <v>43939</v>
      </c>
      <c r="B8" s="11" t="s">
        <v>26</v>
      </c>
      <c r="C8" s="11" t="s">
        <v>34</v>
      </c>
      <c r="D8" s="7" t="s">
        <v>25</v>
      </c>
      <c r="E8" s="12">
        <v>75</v>
      </c>
      <c r="F8" s="12">
        <v>1.99</v>
      </c>
      <c r="G8" s="9">
        <f t="shared" si="0"/>
        <v>14925</v>
      </c>
    </row>
    <row r="9" spans="1:7" ht="17" x14ac:dyDescent="0.2">
      <c r="A9" s="10">
        <v>43956</v>
      </c>
      <c r="B9" s="11" t="s">
        <v>26</v>
      </c>
      <c r="C9" s="11" t="s">
        <v>29</v>
      </c>
      <c r="D9" s="7" t="s">
        <v>25</v>
      </c>
      <c r="E9" s="12">
        <v>90</v>
      </c>
      <c r="F9" s="12">
        <v>4.99</v>
      </c>
      <c r="G9" s="9">
        <f t="shared" si="0"/>
        <v>44910</v>
      </c>
    </row>
    <row r="10" spans="1:7" ht="17" x14ac:dyDescent="0.2">
      <c r="A10" s="10">
        <v>43973</v>
      </c>
      <c r="B10" s="11" t="s">
        <v>32</v>
      </c>
      <c r="C10" s="11" t="s">
        <v>35</v>
      </c>
      <c r="D10" s="7" t="s">
        <v>25</v>
      </c>
      <c r="E10" s="12">
        <v>32</v>
      </c>
      <c r="F10" s="12">
        <v>1.99</v>
      </c>
      <c r="G10" s="9">
        <f t="shared" si="0"/>
        <v>6368</v>
      </c>
    </row>
    <row r="11" spans="1:7" ht="17" x14ac:dyDescent="0.2">
      <c r="A11" s="10">
        <v>43990</v>
      </c>
      <c r="B11" s="11" t="s">
        <v>23</v>
      </c>
      <c r="C11" s="11" t="s">
        <v>24</v>
      </c>
      <c r="D11" s="7" t="s">
        <v>28</v>
      </c>
      <c r="E11" s="12">
        <v>60</v>
      </c>
      <c r="F11" s="12">
        <v>0.85</v>
      </c>
      <c r="G11" s="9">
        <f t="shared" si="0"/>
        <v>5100</v>
      </c>
    </row>
    <row r="12" spans="1:7" ht="17" x14ac:dyDescent="0.2">
      <c r="A12" s="10">
        <v>44007</v>
      </c>
      <c r="B12" s="11" t="s">
        <v>26</v>
      </c>
      <c r="C12" s="11" t="s">
        <v>36</v>
      </c>
      <c r="D12" s="7" t="s">
        <v>25</v>
      </c>
      <c r="E12" s="12">
        <v>90</v>
      </c>
      <c r="F12" s="12">
        <v>4.99</v>
      </c>
      <c r="G12" s="9">
        <f t="shared" si="0"/>
        <v>44910</v>
      </c>
    </row>
    <row r="13" spans="1:7" ht="17" x14ac:dyDescent="0.2">
      <c r="A13" s="10">
        <v>44024</v>
      </c>
      <c r="B13" s="11" t="s">
        <v>23</v>
      </c>
      <c r="C13" s="11" t="s">
        <v>37</v>
      </c>
      <c r="D13" s="7" t="s">
        <v>28</v>
      </c>
      <c r="E13" s="12">
        <v>29</v>
      </c>
      <c r="F13" s="12">
        <v>1.99</v>
      </c>
      <c r="G13" s="9">
        <f t="shared" si="0"/>
        <v>5771</v>
      </c>
    </row>
    <row r="14" spans="1:7" ht="17" x14ac:dyDescent="0.2">
      <c r="A14" s="10">
        <v>44041</v>
      </c>
      <c r="B14" s="11" t="s">
        <v>23</v>
      </c>
      <c r="C14" s="11" t="s">
        <v>38</v>
      </c>
      <c r="D14" s="7" t="s">
        <v>28</v>
      </c>
      <c r="E14" s="12">
        <v>81</v>
      </c>
      <c r="F14" s="12">
        <v>1.1399999999999999</v>
      </c>
      <c r="G14" s="9">
        <f t="shared" si="0"/>
        <v>9234</v>
      </c>
    </row>
    <row r="15" spans="1:7" ht="17" x14ac:dyDescent="0.2">
      <c r="A15" s="10">
        <v>44058</v>
      </c>
      <c r="B15" s="11" t="s">
        <v>23</v>
      </c>
      <c r="C15" s="11" t="s">
        <v>24</v>
      </c>
      <c r="D15" s="7" t="s">
        <v>25</v>
      </c>
      <c r="E15" s="12">
        <v>35</v>
      </c>
      <c r="F15" s="12">
        <v>2.27</v>
      </c>
      <c r="G15" s="9">
        <f t="shared" si="0"/>
        <v>7945</v>
      </c>
    </row>
    <row r="16" spans="1:7" ht="17" x14ac:dyDescent="0.2">
      <c r="A16" s="10">
        <v>44075</v>
      </c>
      <c r="B16" s="11" t="s">
        <v>26</v>
      </c>
      <c r="C16" s="11" t="s">
        <v>39</v>
      </c>
      <c r="D16" s="7" t="s">
        <v>31</v>
      </c>
      <c r="E16" s="12">
        <v>2</v>
      </c>
      <c r="F16" s="12">
        <v>2.5</v>
      </c>
      <c r="G16" s="9">
        <f t="shared" si="0"/>
        <v>500</v>
      </c>
    </row>
    <row r="17" spans="1:7" ht="17" x14ac:dyDescent="0.2">
      <c r="A17" s="10">
        <v>44092</v>
      </c>
      <c r="B17" s="11" t="s">
        <v>23</v>
      </c>
      <c r="C17" s="11" t="s">
        <v>24</v>
      </c>
      <c r="D17" s="11" t="s">
        <v>40</v>
      </c>
      <c r="E17" s="12">
        <v>16</v>
      </c>
      <c r="F17" s="12">
        <v>1.57</v>
      </c>
      <c r="G17" s="9">
        <f t="shared" si="0"/>
        <v>2512</v>
      </c>
    </row>
    <row r="18" spans="1:7" ht="17" x14ac:dyDescent="0.2">
      <c r="A18" s="10">
        <v>44109</v>
      </c>
      <c r="B18" s="11" t="s">
        <v>26</v>
      </c>
      <c r="C18" s="11" t="s">
        <v>36</v>
      </c>
      <c r="D18" s="11" t="s">
        <v>28</v>
      </c>
      <c r="E18" s="12">
        <v>28</v>
      </c>
      <c r="F18" s="12">
        <v>3.14</v>
      </c>
      <c r="G18" s="9">
        <f t="shared" si="0"/>
        <v>8792</v>
      </c>
    </row>
    <row r="19" spans="1:7" ht="17" x14ac:dyDescent="0.2">
      <c r="A19" s="10">
        <v>44126</v>
      </c>
      <c r="B19" s="11" t="s">
        <v>23</v>
      </c>
      <c r="C19" s="11" t="s">
        <v>24</v>
      </c>
      <c r="D19" s="11" t="s">
        <v>31</v>
      </c>
      <c r="E19" s="12">
        <v>64</v>
      </c>
      <c r="F19" s="12">
        <v>1.35</v>
      </c>
      <c r="G19" s="9">
        <f t="shared" si="0"/>
        <v>8640</v>
      </c>
    </row>
    <row r="20" spans="1:7" ht="17" x14ac:dyDescent="0.2">
      <c r="A20" s="10">
        <v>44143</v>
      </c>
      <c r="B20" s="11" t="s">
        <v>23</v>
      </c>
      <c r="C20" s="11" t="s">
        <v>38</v>
      </c>
      <c r="D20" s="11" t="s">
        <v>31</v>
      </c>
      <c r="E20" s="12">
        <v>15</v>
      </c>
      <c r="F20" s="12">
        <v>0.97</v>
      </c>
      <c r="G20" s="9">
        <f t="shared" si="0"/>
        <v>1455</v>
      </c>
    </row>
    <row r="21" spans="1:7" ht="17" x14ac:dyDescent="0.2">
      <c r="A21" s="10">
        <v>44160</v>
      </c>
      <c r="B21" s="11" t="s">
        <v>26</v>
      </c>
      <c r="C21" s="11" t="s">
        <v>27</v>
      </c>
      <c r="D21" s="11" t="s">
        <v>40</v>
      </c>
      <c r="E21" s="12">
        <v>96</v>
      </c>
      <c r="F21" s="12">
        <v>2.3199999999999998</v>
      </c>
      <c r="G21" s="9">
        <f t="shared" si="0"/>
        <v>22272</v>
      </c>
    </row>
    <row r="22" spans="1:7" ht="17" x14ac:dyDescent="0.2">
      <c r="A22" s="10">
        <v>44177</v>
      </c>
      <c r="B22" s="11" t="s">
        <v>26</v>
      </c>
      <c r="C22" s="11" t="s">
        <v>39</v>
      </c>
      <c r="D22" s="11" t="s">
        <v>25</v>
      </c>
      <c r="E22" s="12">
        <v>67</v>
      </c>
      <c r="F22" s="12">
        <v>1.29</v>
      </c>
      <c r="G22" s="9">
        <f t="shared" si="0"/>
        <v>8643</v>
      </c>
    </row>
    <row r="23" spans="1:7" ht="17" x14ac:dyDescent="0.2">
      <c r="A23" s="10">
        <v>44194</v>
      </c>
      <c r="B23" s="11" t="s">
        <v>23</v>
      </c>
      <c r="C23" s="11" t="s">
        <v>38</v>
      </c>
      <c r="D23" s="11" t="s">
        <v>40</v>
      </c>
      <c r="E23" s="12">
        <v>74</v>
      </c>
      <c r="F23" s="12">
        <v>3.17</v>
      </c>
      <c r="G23" s="9">
        <f t="shared" si="0"/>
        <v>23458</v>
      </c>
    </row>
    <row r="24" spans="1:7" ht="17" x14ac:dyDescent="0.2">
      <c r="A24" s="10">
        <v>44211</v>
      </c>
      <c r="B24" s="11" t="s">
        <v>26</v>
      </c>
      <c r="C24" s="11" t="s">
        <v>30</v>
      </c>
      <c r="D24" s="11" t="s">
        <v>28</v>
      </c>
      <c r="E24" s="12">
        <v>46</v>
      </c>
      <c r="F24" s="12">
        <v>8.99</v>
      </c>
      <c r="G24" s="9">
        <f t="shared" si="0"/>
        <v>41354</v>
      </c>
    </row>
    <row r="25" spans="1:7" ht="17" x14ac:dyDescent="0.2">
      <c r="A25" s="10">
        <v>44228</v>
      </c>
      <c r="B25" s="11" t="s">
        <v>26</v>
      </c>
      <c r="C25" s="11" t="s">
        <v>39</v>
      </c>
      <c r="D25" s="11" t="s">
        <v>28</v>
      </c>
      <c r="E25" s="12">
        <v>87</v>
      </c>
      <c r="F25" s="12">
        <v>15</v>
      </c>
      <c r="G25" s="9">
        <f t="shared" si="0"/>
        <v>130500</v>
      </c>
    </row>
    <row r="26" spans="1:7" ht="17" x14ac:dyDescent="0.2">
      <c r="A26" s="10">
        <v>44245</v>
      </c>
      <c r="B26" s="11" t="s">
        <v>23</v>
      </c>
      <c r="C26" s="11" t="s">
        <v>24</v>
      </c>
      <c r="D26" s="11" t="s">
        <v>28</v>
      </c>
      <c r="E26" s="12">
        <v>4</v>
      </c>
      <c r="F26" s="12">
        <v>4.99</v>
      </c>
      <c r="G26" s="9">
        <f t="shared" si="0"/>
        <v>1996</v>
      </c>
    </row>
    <row r="27" spans="1:7" ht="17" x14ac:dyDescent="0.2">
      <c r="A27" s="10">
        <v>44262</v>
      </c>
      <c r="B27" s="11" t="s">
        <v>32</v>
      </c>
      <c r="C27" s="11" t="s">
        <v>33</v>
      </c>
      <c r="D27" s="11" t="s">
        <v>28</v>
      </c>
      <c r="E27" s="12">
        <v>7</v>
      </c>
      <c r="F27" s="12">
        <v>19.989999999999998</v>
      </c>
      <c r="G27" s="9">
        <f t="shared" si="0"/>
        <v>13992.999999999998</v>
      </c>
    </row>
    <row r="28" spans="1:7" ht="17" x14ac:dyDescent="0.2">
      <c r="A28" s="10">
        <v>44279</v>
      </c>
      <c r="B28" s="11" t="s">
        <v>26</v>
      </c>
      <c r="C28" s="11" t="s">
        <v>29</v>
      </c>
      <c r="D28" s="11" t="s">
        <v>40</v>
      </c>
      <c r="E28" s="12">
        <v>50</v>
      </c>
      <c r="F28" s="12">
        <v>4.99</v>
      </c>
      <c r="G28" s="9">
        <f t="shared" si="0"/>
        <v>24950</v>
      </c>
    </row>
    <row r="29" spans="1:7" ht="17" x14ac:dyDescent="0.2">
      <c r="A29" s="10">
        <v>44296</v>
      </c>
      <c r="B29" s="11" t="s">
        <v>26</v>
      </c>
      <c r="C29" s="11" t="s">
        <v>34</v>
      </c>
      <c r="D29" s="11" t="s">
        <v>25</v>
      </c>
      <c r="E29" s="12">
        <v>66</v>
      </c>
      <c r="F29" s="12">
        <v>1.99</v>
      </c>
      <c r="G29" s="9">
        <f t="shared" si="0"/>
        <v>13134</v>
      </c>
    </row>
    <row r="30" spans="1:7" ht="17" x14ac:dyDescent="0.2">
      <c r="A30" s="10">
        <v>44313</v>
      </c>
      <c r="B30" s="11" t="s">
        <v>23</v>
      </c>
      <c r="C30" s="11" t="s">
        <v>37</v>
      </c>
      <c r="D30" s="11" t="s">
        <v>31</v>
      </c>
      <c r="E30" s="12">
        <v>96</v>
      </c>
      <c r="F30" s="12">
        <v>4.99</v>
      </c>
      <c r="G30" s="9">
        <f t="shared" si="0"/>
        <v>47904</v>
      </c>
    </row>
    <row r="31" spans="1:7" ht="17" x14ac:dyDescent="0.2">
      <c r="A31" s="10">
        <v>44330</v>
      </c>
      <c r="B31" s="11" t="s">
        <v>26</v>
      </c>
      <c r="C31" s="11" t="s">
        <v>30</v>
      </c>
      <c r="D31" s="11" t="s">
        <v>25</v>
      </c>
      <c r="E31" s="12">
        <v>53</v>
      </c>
      <c r="F31" s="12">
        <v>1.29</v>
      </c>
      <c r="G31" s="9">
        <f t="shared" si="0"/>
        <v>6837</v>
      </c>
    </row>
    <row r="32" spans="1:7" ht="17" x14ac:dyDescent="0.2">
      <c r="A32" s="10">
        <v>44347</v>
      </c>
      <c r="B32" s="11" t="s">
        <v>26</v>
      </c>
      <c r="C32" s="11" t="s">
        <v>30</v>
      </c>
      <c r="D32" s="11" t="s">
        <v>28</v>
      </c>
      <c r="E32" s="12">
        <v>80</v>
      </c>
      <c r="F32" s="12">
        <v>1.04</v>
      </c>
      <c r="G32" s="9">
        <f t="shared" si="0"/>
        <v>8320</v>
      </c>
    </row>
    <row r="33" spans="1:7" ht="17" x14ac:dyDescent="0.2">
      <c r="A33" s="10">
        <v>44364</v>
      </c>
      <c r="B33" s="11" t="s">
        <v>26</v>
      </c>
      <c r="C33" s="11" t="s">
        <v>27</v>
      </c>
      <c r="D33" s="11" t="s">
        <v>31</v>
      </c>
      <c r="E33" s="12">
        <v>5</v>
      </c>
      <c r="F33" s="12">
        <v>1.5</v>
      </c>
      <c r="G33" s="9">
        <f t="shared" si="0"/>
        <v>750</v>
      </c>
    </row>
    <row r="34" spans="1:7" ht="17" x14ac:dyDescent="0.2">
      <c r="A34" s="10">
        <v>44381</v>
      </c>
      <c r="B34" s="11" t="s">
        <v>23</v>
      </c>
      <c r="C34" s="11" t="s">
        <v>24</v>
      </c>
      <c r="D34" s="11" t="s">
        <v>40</v>
      </c>
      <c r="E34" s="12">
        <v>62</v>
      </c>
      <c r="F34" s="12">
        <v>1.87</v>
      </c>
      <c r="G34" s="9">
        <f t="shared" si="0"/>
        <v>11594</v>
      </c>
    </row>
    <row r="35" spans="1:7" ht="17" x14ac:dyDescent="0.2">
      <c r="A35" s="10">
        <v>44398</v>
      </c>
      <c r="B35" s="11" t="s">
        <v>26</v>
      </c>
      <c r="C35" s="11" t="s">
        <v>36</v>
      </c>
      <c r="D35" s="11" t="s">
        <v>40</v>
      </c>
      <c r="E35" s="12">
        <v>55</v>
      </c>
      <c r="F35" s="12">
        <v>2.4900000000000002</v>
      </c>
      <c r="G35" s="9">
        <f t="shared" si="0"/>
        <v>13695.000000000002</v>
      </c>
    </row>
    <row r="36" spans="1:7" ht="17" x14ac:dyDescent="0.2">
      <c r="A36" s="10">
        <v>44415</v>
      </c>
      <c r="B36" s="11" t="s">
        <v>26</v>
      </c>
      <c r="C36" s="11" t="s">
        <v>27</v>
      </c>
      <c r="D36" s="11" t="s">
        <v>40</v>
      </c>
      <c r="E36" s="12">
        <v>42</v>
      </c>
      <c r="F36" s="12">
        <v>2.16</v>
      </c>
      <c r="G36" s="9">
        <f t="shared" si="0"/>
        <v>9072</v>
      </c>
    </row>
    <row r="37" spans="1:7" ht="17" x14ac:dyDescent="0.2">
      <c r="A37" s="10">
        <v>44432</v>
      </c>
      <c r="B37" s="11" t="s">
        <v>32</v>
      </c>
      <c r="C37" s="11" t="s">
        <v>33</v>
      </c>
      <c r="D37" s="11" t="s">
        <v>31</v>
      </c>
      <c r="E37" s="12">
        <v>3</v>
      </c>
      <c r="F37" s="12">
        <v>2.48</v>
      </c>
      <c r="G37" s="9">
        <f t="shared" si="0"/>
        <v>744</v>
      </c>
    </row>
    <row r="38" spans="1:7" ht="17" x14ac:dyDescent="0.2">
      <c r="A38" s="10">
        <v>44449</v>
      </c>
      <c r="B38" s="11" t="s">
        <v>26</v>
      </c>
      <c r="C38" s="11" t="s">
        <v>30</v>
      </c>
      <c r="D38" s="11" t="s">
        <v>25</v>
      </c>
      <c r="E38" s="12">
        <v>7</v>
      </c>
      <c r="F38" s="12">
        <v>1.29</v>
      </c>
      <c r="G38" s="9">
        <f t="shared" si="0"/>
        <v>903</v>
      </c>
    </row>
    <row r="39" spans="1:7" ht="17" x14ac:dyDescent="0.2">
      <c r="A39" s="10">
        <v>44466</v>
      </c>
      <c r="B39" s="11" t="s">
        <v>32</v>
      </c>
      <c r="C39" s="11" t="s">
        <v>33</v>
      </c>
      <c r="D39" s="11" t="s">
        <v>31</v>
      </c>
      <c r="E39" s="12">
        <v>76</v>
      </c>
      <c r="F39" s="12">
        <v>1.99</v>
      </c>
      <c r="G39" s="9">
        <f t="shared" si="0"/>
        <v>15124</v>
      </c>
    </row>
    <row r="40" spans="1:7" ht="17" x14ac:dyDescent="0.2">
      <c r="A40" s="10">
        <v>44483</v>
      </c>
      <c r="B40" s="11" t="s">
        <v>32</v>
      </c>
      <c r="C40" s="11" t="s">
        <v>35</v>
      </c>
      <c r="D40" s="11" t="s">
        <v>28</v>
      </c>
      <c r="E40" s="12">
        <v>57</v>
      </c>
      <c r="F40" s="12">
        <v>1.72</v>
      </c>
      <c r="G40" s="9">
        <f t="shared" si="0"/>
        <v>9804</v>
      </c>
    </row>
    <row r="41" spans="1:7" ht="17" x14ac:dyDescent="0.2">
      <c r="A41" s="10">
        <v>44500</v>
      </c>
      <c r="B41" s="11" t="s">
        <v>26</v>
      </c>
      <c r="C41" s="11" t="s">
        <v>34</v>
      </c>
      <c r="D41" s="11" t="s">
        <v>25</v>
      </c>
      <c r="E41" s="12">
        <v>14</v>
      </c>
      <c r="F41" s="12">
        <v>1.29</v>
      </c>
      <c r="G41" s="9">
        <f t="shared" si="0"/>
        <v>1806</v>
      </c>
    </row>
    <row r="42" spans="1:7" ht="17" x14ac:dyDescent="0.2">
      <c r="A42" s="10">
        <v>44517</v>
      </c>
      <c r="B42" s="11" t="s">
        <v>26</v>
      </c>
      <c r="C42" s="11" t="s">
        <v>29</v>
      </c>
      <c r="D42" s="11" t="s">
        <v>28</v>
      </c>
      <c r="E42" s="12">
        <v>11</v>
      </c>
      <c r="F42" s="12">
        <v>0.57999999999999996</v>
      </c>
      <c r="G42" s="9">
        <f t="shared" si="0"/>
        <v>638</v>
      </c>
    </row>
    <row r="43" spans="1:7" ht="17" x14ac:dyDescent="0.2">
      <c r="A43" s="10">
        <v>44534</v>
      </c>
      <c r="B43" s="11" t="s">
        <v>26</v>
      </c>
      <c r="C43" s="11" t="s">
        <v>29</v>
      </c>
      <c r="D43" s="11" t="s">
        <v>28</v>
      </c>
      <c r="E43" s="12">
        <v>94</v>
      </c>
      <c r="F43" s="12">
        <v>1.99</v>
      </c>
      <c r="G43" s="9">
        <f t="shared" si="0"/>
        <v>18706</v>
      </c>
    </row>
    <row r="44" spans="1:7" ht="17" x14ac:dyDescent="0.2">
      <c r="A44" s="13">
        <v>44551</v>
      </c>
      <c r="B44" s="14" t="s">
        <v>26</v>
      </c>
      <c r="C44" s="14" t="s">
        <v>34</v>
      </c>
      <c r="D44" s="14" t="s">
        <v>28</v>
      </c>
      <c r="E44" s="15">
        <v>28</v>
      </c>
      <c r="F44" s="15">
        <v>1.21</v>
      </c>
      <c r="G44" s="16">
        <f t="shared" si="0"/>
        <v>3388</v>
      </c>
    </row>
  </sheetData>
  <pageMargins left="0.7" right="0.7" top="0.75" bottom="0.75" header="0.3" footer="0.3"/>
  <pageSetup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BD190-BCC9-7A48-A891-5C0E61D7501E}">
  <dimension ref="A4:K39"/>
  <sheetViews>
    <sheetView zoomScaleNormal="100" workbookViewId="0">
      <selection activeCell="G13" sqref="G13"/>
    </sheetView>
  </sheetViews>
  <sheetFormatPr baseColWidth="10" defaultRowHeight="15" x14ac:dyDescent="0.2"/>
  <cols>
    <col min="1" max="1" width="13" bestFit="1" customWidth="1"/>
    <col min="2" max="2" width="15.5" bestFit="1" customWidth="1"/>
    <col min="3" max="3" width="18" bestFit="1" customWidth="1"/>
    <col min="4" max="4" width="11.6640625" bestFit="1" customWidth="1"/>
    <col min="5" max="5" width="18" bestFit="1" customWidth="1"/>
    <col min="6" max="6" width="11.6640625" bestFit="1" customWidth="1"/>
    <col min="7" max="7" width="18" bestFit="1" customWidth="1"/>
    <col min="8" max="8" width="11.6640625" bestFit="1" customWidth="1"/>
    <col min="9" max="9" width="18" bestFit="1" customWidth="1"/>
    <col min="10" max="10" width="16.5" bestFit="1" customWidth="1"/>
    <col min="11" max="11" width="22.83203125" bestFit="1" customWidth="1"/>
    <col min="12" max="12" width="13.83203125" bestFit="1" customWidth="1"/>
    <col min="13" max="13" width="10.5" bestFit="1" customWidth="1"/>
    <col min="14" max="14" width="19.6640625" bestFit="1" customWidth="1"/>
    <col min="15" max="15" width="18.33203125" bestFit="1" customWidth="1"/>
    <col min="16" max="16" width="14.6640625" bestFit="1" customWidth="1"/>
    <col min="17" max="17" width="10.5" bestFit="1" customWidth="1"/>
    <col min="18" max="18" width="21" bestFit="1" customWidth="1"/>
    <col min="19" max="19" width="19.6640625" bestFit="1" customWidth="1"/>
    <col min="20" max="20" width="18.33203125" bestFit="1" customWidth="1"/>
    <col min="21" max="21" width="14.6640625" bestFit="1" customWidth="1"/>
    <col min="22" max="22" width="21" bestFit="1" customWidth="1"/>
    <col min="23" max="23" width="19.6640625" bestFit="1" customWidth="1"/>
    <col min="24" max="24" width="18.33203125" bestFit="1" customWidth="1"/>
    <col min="25" max="25" width="14.6640625" bestFit="1" customWidth="1"/>
  </cols>
  <sheetData>
    <row r="4" spans="1:11" ht="16" x14ac:dyDescent="0.2">
      <c r="A4" s="46"/>
      <c r="B4" s="47" t="s">
        <v>63</v>
      </c>
      <c r="C4" s="46"/>
      <c r="D4" s="46"/>
      <c r="E4" s="46"/>
      <c r="F4" s="46"/>
      <c r="G4" s="46"/>
      <c r="H4" s="46"/>
      <c r="I4" s="46"/>
      <c r="J4" s="46"/>
      <c r="K4" s="46"/>
    </row>
    <row r="5" spans="1:11" ht="16" x14ac:dyDescent="0.2">
      <c r="A5" s="46"/>
      <c r="B5" s="46" t="s">
        <v>25</v>
      </c>
      <c r="C5" s="46"/>
      <c r="D5" s="46" t="s">
        <v>28</v>
      </c>
      <c r="E5" s="46"/>
      <c r="F5" s="46" t="s">
        <v>40</v>
      </c>
      <c r="G5" s="46"/>
      <c r="H5" s="46" t="s">
        <v>31</v>
      </c>
      <c r="I5" s="46"/>
      <c r="J5" s="46" t="s">
        <v>65</v>
      </c>
      <c r="K5" s="46" t="s">
        <v>68</v>
      </c>
    </row>
    <row r="6" spans="1:11" ht="16" x14ac:dyDescent="0.2">
      <c r="A6" s="47" t="s">
        <v>67</v>
      </c>
      <c r="B6" s="46" t="s">
        <v>66</v>
      </c>
      <c r="C6" s="46" t="s">
        <v>69</v>
      </c>
      <c r="D6" s="46" t="s">
        <v>66</v>
      </c>
      <c r="E6" s="46" t="s">
        <v>69</v>
      </c>
      <c r="F6" s="46" t="s">
        <v>66</v>
      </c>
      <c r="G6" s="46" t="s">
        <v>69</v>
      </c>
      <c r="H6" s="46" t="s">
        <v>66</v>
      </c>
      <c r="I6" s="46" t="s">
        <v>69</v>
      </c>
      <c r="J6" s="46"/>
      <c r="K6" s="46"/>
    </row>
    <row r="7" spans="1:11" ht="16" x14ac:dyDescent="0.2">
      <c r="A7" s="48" t="s">
        <v>34</v>
      </c>
      <c r="B7" s="49">
        <v>29865</v>
      </c>
      <c r="C7" s="49">
        <v>3</v>
      </c>
      <c r="D7" s="49">
        <v>3388</v>
      </c>
      <c r="E7" s="49">
        <v>1</v>
      </c>
      <c r="F7" s="49"/>
      <c r="G7" s="49"/>
      <c r="H7" s="49"/>
      <c r="I7" s="49"/>
      <c r="J7" s="49">
        <v>33253</v>
      </c>
      <c r="K7" s="49">
        <v>4</v>
      </c>
    </row>
    <row r="8" spans="1:11" ht="16" x14ac:dyDescent="0.2">
      <c r="A8" s="50" t="s">
        <v>70</v>
      </c>
      <c r="B8" s="49">
        <v>14925</v>
      </c>
      <c r="C8" s="49">
        <v>1</v>
      </c>
      <c r="D8" s="49"/>
      <c r="E8" s="49"/>
      <c r="F8" s="49"/>
      <c r="G8" s="49"/>
      <c r="H8" s="49"/>
      <c r="I8" s="49"/>
      <c r="J8" s="49">
        <v>14925</v>
      </c>
      <c r="K8" s="49">
        <v>1</v>
      </c>
    </row>
    <row r="9" spans="1:11" ht="16" x14ac:dyDescent="0.2">
      <c r="A9" s="50" t="s">
        <v>71</v>
      </c>
      <c r="B9" s="49">
        <v>14940</v>
      </c>
      <c r="C9" s="49">
        <v>2</v>
      </c>
      <c r="D9" s="49">
        <v>3388</v>
      </c>
      <c r="E9" s="49">
        <v>1</v>
      </c>
      <c r="F9" s="49"/>
      <c r="G9" s="49"/>
      <c r="H9" s="49"/>
      <c r="I9" s="49"/>
      <c r="J9" s="49">
        <v>18328</v>
      </c>
      <c r="K9" s="49">
        <v>3</v>
      </c>
    </row>
    <row r="10" spans="1:11" ht="16" x14ac:dyDescent="0.2">
      <c r="A10" s="48" t="s">
        <v>30</v>
      </c>
      <c r="B10" s="49">
        <v>7740</v>
      </c>
      <c r="C10" s="49">
        <v>2</v>
      </c>
      <c r="D10" s="49">
        <v>49674</v>
      </c>
      <c r="E10" s="49">
        <v>2</v>
      </c>
      <c r="F10" s="49"/>
      <c r="G10" s="49"/>
      <c r="H10" s="49">
        <v>5373</v>
      </c>
      <c r="I10" s="49">
        <v>1</v>
      </c>
      <c r="J10" s="49">
        <v>62787</v>
      </c>
      <c r="K10" s="49">
        <v>5</v>
      </c>
    </row>
    <row r="11" spans="1:11" ht="16" x14ac:dyDescent="0.2">
      <c r="A11" s="50" t="s">
        <v>70</v>
      </c>
      <c r="B11" s="49"/>
      <c r="C11" s="49"/>
      <c r="D11" s="49"/>
      <c r="E11" s="49"/>
      <c r="F11" s="49"/>
      <c r="G11" s="49"/>
      <c r="H11" s="49">
        <v>5373</v>
      </c>
      <c r="I11" s="49">
        <v>1</v>
      </c>
      <c r="J11" s="49">
        <v>5373</v>
      </c>
      <c r="K11" s="49">
        <v>1</v>
      </c>
    </row>
    <row r="12" spans="1:11" ht="16" x14ac:dyDescent="0.2">
      <c r="A12" s="50" t="s">
        <v>71</v>
      </c>
      <c r="B12" s="49">
        <v>7740</v>
      </c>
      <c r="C12" s="49">
        <v>2</v>
      </c>
      <c r="D12" s="49">
        <v>49674</v>
      </c>
      <c r="E12" s="49">
        <v>2</v>
      </c>
      <c r="F12" s="49"/>
      <c r="G12" s="49"/>
      <c r="H12" s="49"/>
      <c r="I12" s="49"/>
      <c r="J12" s="49">
        <v>57414</v>
      </c>
      <c r="K12" s="49">
        <v>4</v>
      </c>
    </row>
    <row r="13" spans="1:11" ht="16" x14ac:dyDescent="0.2">
      <c r="A13" s="48" t="s">
        <v>37</v>
      </c>
      <c r="B13" s="49"/>
      <c r="C13" s="49"/>
      <c r="D13" s="49">
        <v>5771</v>
      </c>
      <c r="E13" s="49">
        <v>1</v>
      </c>
      <c r="F13" s="49"/>
      <c r="G13" s="49"/>
      <c r="H13" s="49">
        <v>47904</v>
      </c>
      <c r="I13" s="49">
        <v>1</v>
      </c>
      <c r="J13" s="49">
        <v>53675</v>
      </c>
      <c r="K13" s="49">
        <v>2</v>
      </c>
    </row>
    <row r="14" spans="1:11" ht="16" x14ac:dyDescent="0.2">
      <c r="A14" s="50" t="s">
        <v>70</v>
      </c>
      <c r="B14" s="49"/>
      <c r="C14" s="49"/>
      <c r="D14" s="49">
        <v>5771</v>
      </c>
      <c r="E14" s="49">
        <v>1</v>
      </c>
      <c r="F14" s="49"/>
      <c r="G14" s="49"/>
      <c r="H14" s="49"/>
      <c r="I14" s="49"/>
      <c r="J14" s="49">
        <v>5771</v>
      </c>
      <c r="K14" s="49">
        <v>1</v>
      </c>
    </row>
    <row r="15" spans="1:11" ht="16" x14ac:dyDescent="0.2">
      <c r="A15" s="50" t="s">
        <v>71</v>
      </c>
      <c r="B15" s="49"/>
      <c r="C15" s="49"/>
      <c r="D15" s="49"/>
      <c r="E15" s="49"/>
      <c r="F15" s="49"/>
      <c r="G15" s="49"/>
      <c r="H15" s="49">
        <v>47904</v>
      </c>
      <c r="I15" s="49">
        <v>1</v>
      </c>
      <c r="J15" s="49">
        <v>47904</v>
      </c>
      <c r="K15" s="49">
        <v>1</v>
      </c>
    </row>
    <row r="16" spans="1:11" ht="16" x14ac:dyDescent="0.2">
      <c r="A16" s="48" t="s">
        <v>29</v>
      </c>
      <c r="B16" s="49">
        <v>62874</v>
      </c>
      <c r="C16" s="49">
        <v>2</v>
      </c>
      <c r="D16" s="49">
        <v>19344</v>
      </c>
      <c r="E16" s="49">
        <v>2</v>
      </c>
      <c r="F16" s="49">
        <v>24950</v>
      </c>
      <c r="G16" s="49">
        <v>1</v>
      </c>
      <c r="H16" s="49"/>
      <c r="I16" s="49"/>
      <c r="J16" s="49">
        <v>107168</v>
      </c>
      <c r="K16" s="49">
        <v>5</v>
      </c>
    </row>
    <row r="17" spans="1:11" ht="16" x14ac:dyDescent="0.2">
      <c r="A17" s="50" t="s">
        <v>70</v>
      </c>
      <c r="B17" s="49">
        <v>62874</v>
      </c>
      <c r="C17" s="49">
        <v>2</v>
      </c>
      <c r="D17" s="49"/>
      <c r="E17" s="49"/>
      <c r="F17" s="49"/>
      <c r="G17" s="49"/>
      <c r="H17" s="49"/>
      <c r="I17" s="49"/>
      <c r="J17" s="49">
        <v>62874</v>
      </c>
      <c r="K17" s="49">
        <v>2</v>
      </c>
    </row>
    <row r="18" spans="1:11" ht="16" x14ac:dyDescent="0.2">
      <c r="A18" s="50" t="s">
        <v>71</v>
      </c>
      <c r="B18" s="49"/>
      <c r="C18" s="49"/>
      <c r="D18" s="49">
        <v>19344</v>
      </c>
      <c r="E18" s="49">
        <v>2</v>
      </c>
      <c r="F18" s="49">
        <v>24950</v>
      </c>
      <c r="G18" s="49">
        <v>1</v>
      </c>
      <c r="H18" s="49"/>
      <c r="I18" s="49"/>
      <c r="J18" s="49">
        <v>44294</v>
      </c>
      <c r="K18" s="49">
        <v>3</v>
      </c>
    </row>
    <row r="19" spans="1:11" ht="16" x14ac:dyDescent="0.2">
      <c r="A19" s="48" t="s">
        <v>24</v>
      </c>
      <c r="B19" s="49">
        <v>26850</v>
      </c>
      <c r="C19" s="49">
        <v>2</v>
      </c>
      <c r="D19" s="49">
        <v>37036</v>
      </c>
      <c r="E19" s="49">
        <v>3</v>
      </c>
      <c r="F19" s="49">
        <v>14106</v>
      </c>
      <c r="G19" s="49">
        <v>2</v>
      </c>
      <c r="H19" s="49">
        <v>8640</v>
      </c>
      <c r="I19" s="49">
        <v>1</v>
      </c>
      <c r="J19" s="49">
        <v>86632</v>
      </c>
      <c r="K19" s="49">
        <v>8</v>
      </c>
    </row>
    <row r="20" spans="1:11" ht="16" x14ac:dyDescent="0.2">
      <c r="A20" s="50" t="s">
        <v>70</v>
      </c>
      <c r="B20" s="49">
        <v>26850</v>
      </c>
      <c r="C20" s="49">
        <v>2</v>
      </c>
      <c r="D20" s="49">
        <v>35040</v>
      </c>
      <c r="E20" s="49">
        <v>2</v>
      </c>
      <c r="F20" s="49">
        <v>2512</v>
      </c>
      <c r="G20" s="49">
        <v>1</v>
      </c>
      <c r="H20" s="49">
        <v>8640</v>
      </c>
      <c r="I20" s="49">
        <v>1</v>
      </c>
      <c r="J20" s="49">
        <v>73042</v>
      </c>
      <c r="K20" s="49">
        <v>6</v>
      </c>
    </row>
    <row r="21" spans="1:11" ht="16" x14ac:dyDescent="0.2">
      <c r="A21" s="50" t="s">
        <v>71</v>
      </c>
      <c r="B21" s="49"/>
      <c r="C21" s="49"/>
      <c r="D21" s="49">
        <v>1996</v>
      </c>
      <c r="E21" s="49">
        <v>1</v>
      </c>
      <c r="F21" s="49">
        <v>11594</v>
      </c>
      <c r="G21" s="49">
        <v>1</v>
      </c>
      <c r="H21" s="49"/>
      <c r="I21" s="49"/>
      <c r="J21" s="49">
        <v>13590</v>
      </c>
      <c r="K21" s="49">
        <v>2</v>
      </c>
    </row>
    <row r="22" spans="1:11" ht="16" x14ac:dyDescent="0.2">
      <c r="A22" s="48" t="s">
        <v>27</v>
      </c>
      <c r="B22" s="49"/>
      <c r="C22" s="49"/>
      <c r="D22" s="49">
        <v>17450</v>
      </c>
      <c r="E22" s="49">
        <v>1</v>
      </c>
      <c r="F22" s="49">
        <v>31344</v>
      </c>
      <c r="G22" s="49">
        <v>2</v>
      </c>
      <c r="H22" s="49">
        <v>750</v>
      </c>
      <c r="I22" s="49">
        <v>1</v>
      </c>
      <c r="J22" s="49">
        <v>49544</v>
      </c>
      <c r="K22" s="49">
        <v>4</v>
      </c>
    </row>
    <row r="23" spans="1:11" ht="16" x14ac:dyDescent="0.2">
      <c r="A23" s="50" t="s">
        <v>70</v>
      </c>
      <c r="B23" s="49"/>
      <c r="C23" s="49"/>
      <c r="D23" s="49">
        <v>17450</v>
      </c>
      <c r="E23" s="49">
        <v>1</v>
      </c>
      <c r="F23" s="49">
        <v>22272</v>
      </c>
      <c r="G23" s="49">
        <v>1</v>
      </c>
      <c r="H23" s="49"/>
      <c r="I23" s="49"/>
      <c r="J23" s="49">
        <v>39722</v>
      </c>
      <c r="K23" s="49">
        <v>2</v>
      </c>
    </row>
    <row r="24" spans="1:11" ht="16" x14ac:dyDescent="0.2">
      <c r="A24" s="50" t="s">
        <v>71</v>
      </c>
      <c r="B24" s="49"/>
      <c r="C24" s="49"/>
      <c r="D24" s="49"/>
      <c r="E24" s="49"/>
      <c r="F24" s="49">
        <v>9072</v>
      </c>
      <c r="G24" s="49">
        <v>1</v>
      </c>
      <c r="H24" s="49">
        <v>750</v>
      </c>
      <c r="I24" s="49">
        <v>1</v>
      </c>
      <c r="J24" s="49">
        <v>9822</v>
      </c>
      <c r="K24" s="49">
        <v>2</v>
      </c>
    </row>
    <row r="25" spans="1:11" ht="16" x14ac:dyDescent="0.2">
      <c r="A25" s="48" t="s">
        <v>36</v>
      </c>
      <c r="B25" s="49">
        <v>44910</v>
      </c>
      <c r="C25" s="49">
        <v>1</v>
      </c>
      <c r="D25" s="49">
        <v>8792</v>
      </c>
      <c r="E25" s="49">
        <v>1</v>
      </c>
      <c r="F25" s="49">
        <v>13695.000000000002</v>
      </c>
      <c r="G25" s="49">
        <v>1</v>
      </c>
      <c r="H25" s="49"/>
      <c r="I25" s="49"/>
      <c r="J25" s="49">
        <v>67397</v>
      </c>
      <c r="K25" s="49">
        <v>3</v>
      </c>
    </row>
    <row r="26" spans="1:11" ht="16" x14ac:dyDescent="0.2">
      <c r="A26" s="50" t="s">
        <v>70</v>
      </c>
      <c r="B26" s="49">
        <v>44910</v>
      </c>
      <c r="C26" s="49">
        <v>1</v>
      </c>
      <c r="D26" s="49">
        <v>8792</v>
      </c>
      <c r="E26" s="49">
        <v>1</v>
      </c>
      <c r="F26" s="49"/>
      <c r="G26" s="49"/>
      <c r="H26" s="49"/>
      <c r="I26" s="49"/>
      <c r="J26" s="49">
        <v>53702</v>
      </c>
      <c r="K26" s="49">
        <v>2</v>
      </c>
    </row>
    <row r="27" spans="1:11" ht="16" x14ac:dyDescent="0.2">
      <c r="A27" s="50" t="s">
        <v>71</v>
      </c>
      <c r="B27" s="49"/>
      <c r="C27" s="49"/>
      <c r="D27" s="49"/>
      <c r="E27" s="49"/>
      <c r="F27" s="49">
        <v>13695.000000000002</v>
      </c>
      <c r="G27" s="49">
        <v>1</v>
      </c>
      <c r="H27" s="49"/>
      <c r="I27" s="49"/>
      <c r="J27" s="49">
        <v>13695.000000000002</v>
      </c>
      <c r="K27" s="49">
        <v>1</v>
      </c>
    </row>
    <row r="28" spans="1:11" ht="16" x14ac:dyDescent="0.2">
      <c r="A28" s="48" t="s">
        <v>38</v>
      </c>
      <c r="B28" s="49"/>
      <c r="C28" s="49"/>
      <c r="D28" s="49">
        <v>9234</v>
      </c>
      <c r="E28" s="49">
        <v>1</v>
      </c>
      <c r="F28" s="49">
        <v>23458</v>
      </c>
      <c r="G28" s="49">
        <v>1</v>
      </c>
      <c r="H28" s="49">
        <v>1455</v>
      </c>
      <c r="I28" s="49">
        <v>1</v>
      </c>
      <c r="J28" s="49">
        <v>34147</v>
      </c>
      <c r="K28" s="49">
        <v>3</v>
      </c>
    </row>
    <row r="29" spans="1:11" ht="16" x14ac:dyDescent="0.2">
      <c r="A29" s="50" t="s">
        <v>70</v>
      </c>
      <c r="B29" s="49"/>
      <c r="C29" s="49"/>
      <c r="D29" s="49">
        <v>9234</v>
      </c>
      <c r="E29" s="49">
        <v>1</v>
      </c>
      <c r="F29" s="49">
        <v>23458</v>
      </c>
      <c r="G29" s="49">
        <v>1</v>
      </c>
      <c r="H29" s="49">
        <v>1455</v>
      </c>
      <c r="I29" s="49">
        <v>1</v>
      </c>
      <c r="J29" s="49">
        <v>34147</v>
      </c>
      <c r="K29" s="49">
        <v>3</v>
      </c>
    </row>
    <row r="30" spans="1:11" ht="16" x14ac:dyDescent="0.2">
      <c r="A30" s="48" t="s">
        <v>39</v>
      </c>
      <c r="B30" s="49">
        <v>8643</v>
      </c>
      <c r="C30" s="49">
        <v>1</v>
      </c>
      <c r="D30" s="49">
        <v>130500</v>
      </c>
      <c r="E30" s="49">
        <v>1</v>
      </c>
      <c r="F30" s="49"/>
      <c r="G30" s="49"/>
      <c r="H30" s="49">
        <v>500</v>
      </c>
      <c r="I30" s="49">
        <v>1</v>
      </c>
      <c r="J30" s="49">
        <v>139643</v>
      </c>
      <c r="K30" s="49">
        <v>3</v>
      </c>
    </row>
    <row r="31" spans="1:11" ht="16" x14ac:dyDescent="0.2">
      <c r="A31" s="50" t="s">
        <v>70</v>
      </c>
      <c r="B31" s="49">
        <v>8643</v>
      </c>
      <c r="C31" s="49">
        <v>1</v>
      </c>
      <c r="D31" s="49"/>
      <c r="E31" s="49"/>
      <c r="F31" s="49"/>
      <c r="G31" s="49"/>
      <c r="H31" s="49">
        <v>500</v>
      </c>
      <c r="I31" s="49">
        <v>1</v>
      </c>
      <c r="J31" s="49">
        <v>9143</v>
      </c>
      <c r="K31" s="49">
        <v>2</v>
      </c>
    </row>
    <row r="32" spans="1:11" ht="16" x14ac:dyDescent="0.2">
      <c r="A32" s="50" t="s">
        <v>71</v>
      </c>
      <c r="B32" s="49"/>
      <c r="C32" s="49"/>
      <c r="D32" s="49">
        <v>130500</v>
      </c>
      <c r="E32" s="49">
        <v>1</v>
      </c>
      <c r="F32" s="49"/>
      <c r="G32" s="49"/>
      <c r="H32" s="49"/>
      <c r="I32" s="49"/>
      <c r="J32" s="49">
        <v>130500</v>
      </c>
      <c r="K32" s="49">
        <v>1</v>
      </c>
    </row>
    <row r="33" spans="1:11" ht="16" x14ac:dyDescent="0.2">
      <c r="A33" s="48" t="s">
        <v>33</v>
      </c>
      <c r="B33" s="49">
        <v>16744</v>
      </c>
      <c r="C33" s="49">
        <v>1</v>
      </c>
      <c r="D33" s="49">
        <v>13992.999999999998</v>
      </c>
      <c r="E33" s="49">
        <v>1</v>
      </c>
      <c r="F33" s="49"/>
      <c r="G33" s="49"/>
      <c r="H33" s="49">
        <v>15868</v>
      </c>
      <c r="I33" s="49">
        <v>2</v>
      </c>
      <c r="J33" s="49">
        <v>46605</v>
      </c>
      <c r="K33" s="49">
        <v>4</v>
      </c>
    </row>
    <row r="34" spans="1:11" ht="16" x14ac:dyDescent="0.2">
      <c r="A34" s="50" t="s">
        <v>70</v>
      </c>
      <c r="B34" s="49">
        <v>16744</v>
      </c>
      <c r="C34" s="49">
        <v>1</v>
      </c>
      <c r="D34" s="49"/>
      <c r="E34" s="49"/>
      <c r="F34" s="49"/>
      <c r="G34" s="49"/>
      <c r="H34" s="49"/>
      <c r="I34" s="49"/>
      <c r="J34" s="49">
        <v>16744</v>
      </c>
      <c r="K34" s="49">
        <v>1</v>
      </c>
    </row>
    <row r="35" spans="1:11" ht="16" x14ac:dyDescent="0.2">
      <c r="A35" s="50" t="s">
        <v>71</v>
      </c>
      <c r="B35" s="49"/>
      <c r="C35" s="49"/>
      <c r="D35" s="49">
        <v>13992.999999999998</v>
      </c>
      <c r="E35" s="49">
        <v>1</v>
      </c>
      <c r="F35" s="49"/>
      <c r="G35" s="49"/>
      <c r="H35" s="49">
        <v>15868</v>
      </c>
      <c r="I35" s="49">
        <v>2</v>
      </c>
      <c r="J35" s="49">
        <v>29861</v>
      </c>
      <c r="K35" s="49">
        <v>3</v>
      </c>
    </row>
    <row r="36" spans="1:11" ht="16" x14ac:dyDescent="0.2">
      <c r="A36" s="48" t="s">
        <v>35</v>
      </c>
      <c r="B36" s="49">
        <v>6368</v>
      </c>
      <c r="C36" s="49">
        <v>1</v>
      </c>
      <c r="D36" s="49">
        <v>9804</v>
      </c>
      <c r="E36" s="49">
        <v>1</v>
      </c>
      <c r="F36" s="49"/>
      <c r="G36" s="49"/>
      <c r="H36" s="49"/>
      <c r="I36" s="49"/>
      <c r="J36" s="49">
        <v>16172</v>
      </c>
      <c r="K36" s="49">
        <v>2</v>
      </c>
    </row>
    <row r="37" spans="1:11" ht="16" x14ac:dyDescent="0.2">
      <c r="A37" s="50" t="s">
        <v>70</v>
      </c>
      <c r="B37" s="49">
        <v>6368</v>
      </c>
      <c r="C37" s="49">
        <v>1</v>
      </c>
      <c r="D37" s="49"/>
      <c r="E37" s="49"/>
      <c r="F37" s="49"/>
      <c r="G37" s="49"/>
      <c r="H37" s="49"/>
      <c r="I37" s="49"/>
      <c r="J37" s="49">
        <v>6368</v>
      </c>
      <c r="K37" s="49">
        <v>1</v>
      </c>
    </row>
    <row r="38" spans="1:11" ht="16" x14ac:dyDescent="0.2">
      <c r="A38" s="50" t="s">
        <v>71</v>
      </c>
      <c r="B38" s="49"/>
      <c r="C38" s="49"/>
      <c r="D38" s="49">
        <v>9804</v>
      </c>
      <c r="E38" s="49">
        <v>1</v>
      </c>
      <c r="F38" s="49"/>
      <c r="G38" s="49"/>
      <c r="H38" s="49"/>
      <c r="I38" s="49"/>
      <c r="J38" s="49">
        <v>9804</v>
      </c>
      <c r="K38" s="49">
        <v>1</v>
      </c>
    </row>
    <row r="39" spans="1:11" ht="16" x14ac:dyDescent="0.2">
      <c r="A39" s="48" t="s">
        <v>64</v>
      </c>
      <c r="B39" s="49">
        <v>203994</v>
      </c>
      <c r="C39" s="49">
        <v>13</v>
      </c>
      <c r="D39" s="49">
        <v>304986</v>
      </c>
      <c r="E39" s="49">
        <v>15</v>
      </c>
      <c r="F39" s="49">
        <v>107553</v>
      </c>
      <c r="G39" s="49">
        <v>7</v>
      </c>
      <c r="H39" s="49">
        <v>80490</v>
      </c>
      <c r="I39" s="49">
        <v>8</v>
      </c>
      <c r="J39" s="49">
        <v>697023</v>
      </c>
      <c r="K39" s="49">
        <v>43</v>
      </c>
    </row>
  </sheetData>
  <pageMargins left="0.7" right="0.7" top="0.75" bottom="0.75" header="0.3" footer="0.3"/>
  <pageSetup scale="48" orientation="portrait" horizontalDpi="0" verticalDpi="0"/>
  <headerFooter>
    <oddFooter>&amp;L&amp;"Arial,Regular"&amp;16Aman Mohammad&amp;C&amp;"Arial,Regular"&amp;16Alan Nikaj&amp;R&amp;"Arial,Regular"&amp;16Jake Morales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L38"/>
  <sheetViews>
    <sheetView workbookViewId="0">
      <selection activeCell="J33" sqref="J33"/>
    </sheetView>
  </sheetViews>
  <sheetFormatPr baseColWidth="10" defaultColWidth="9" defaultRowHeight="16" x14ac:dyDescent="0.2"/>
  <cols>
    <col min="1" max="1" width="13.83203125" customWidth="1"/>
    <col min="2" max="2" width="8.33203125" style="17" customWidth="1"/>
    <col min="3" max="3" width="8.1640625" style="17" customWidth="1"/>
    <col min="4" max="4" width="9.5" style="17" customWidth="1"/>
    <col min="5" max="5" width="5.6640625" style="17" customWidth="1"/>
    <col min="6" max="6" width="6" style="17" customWidth="1"/>
    <col min="7" max="7" width="5.6640625" style="17" customWidth="1"/>
    <col min="8" max="8" width="7.5" style="17" customWidth="1"/>
    <col min="9" max="12" width="9.1640625" style="17"/>
  </cols>
  <sheetData>
    <row r="1" spans="1:8" ht="102" customHeight="1" x14ac:dyDescent="0.2">
      <c r="A1" s="18" t="s">
        <v>0</v>
      </c>
      <c r="B1" s="19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1" t="s">
        <v>7</v>
      </c>
    </row>
    <row r="2" spans="1:8" ht="16.5" customHeight="1" x14ac:dyDescent="0.2">
      <c r="A2" s="22" t="s">
        <v>8</v>
      </c>
      <c r="B2" s="23" t="s">
        <v>9</v>
      </c>
      <c r="C2" s="24" t="s">
        <v>10</v>
      </c>
      <c r="D2" s="24" t="s">
        <v>11</v>
      </c>
      <c r="E2" s="24" t="s">
        <v>12</v>
      </c>
      <c r="F2" s="24" t="s">
        <v>13</v>
      </c>
      <c r="G2" s="24" t="s">
        <v>14</v>
      </c>
      <c r="H2" s="25" t="s">
        <v>15</v>
      </c>
    </row>
    <row r="3" spans="1:8" x14ac:dyDescent="0.2">
      <c r="A3" s="26">
        <v>1</v>
      </c>
      <c r="B3" s="27">
        <v>4.22</v>
      </c>
      <c r="C3" s="28">
        <v>9.2200000000000006</v>
      </c>
      <c r="D3" s="28">
        <v>3.47</v>
      </c>
      <c r="E3" s="28">
        <v>5.54</v>
      </c>
      <c r="F3" s="28">
        <v>4.09</v>
      </c>
      <c r="G3" s="28">
        <v>4.17</v>
      </c>
      <c r="H3" s="29">
        <v>20.079999999999998</v>
      </c>
    </row>
    <row r="4" spans="1:8" x14ac:dyDescent="0.2">
      <c r="A4" s="30">
        <v>2</v>
      </c>
      <c r="B4" s="31">
        <v>3.74</v>
      </c>
      <c r="C4" s="32">
        <v>8.2200000000000006</v>
      </c>
      <c r="D4" s="32">
        <v>5.89</v>
      </c>
      <c r="E4" s="32">
        <v>4.2</v>
      </c>
      <c r="F4" s="32">
        <v>3.68</v>
      </c>
      <c r="G4" s="32">
        <v>6.66</v>
      </c>
      <c r="H4" s="33">
        <v>19.93</v>
      </c>
    </row>
    <row r="5" spans="1:8" x14ac:dyDescent="0.2">
      <c r="A5" s="30">
        <v>3</v>
      </c>
      <c r="B5" s="31">
        <v>4.17</v>
      </c>
      <c r="C5" s="32">
        <v>9.3699999999999992</v>
      </c>
      <c r="D5" s="32">
        <v>4.21</v>
      </c>
      <c r="E5" s="32">
        <v>6.74</v>
      </c>
      <c r="F5" s="32">
        <v>3.62</v>
      </c>
      <c r="G5" s="32">
        <v>6.66</v>
      </c>
      <c r="H5" s="33">
        <v>20.92</v>
      </c>
    </row>
    <row r="6" spans="1:8" x14ac:dyDescent="0.2">
      <c r="A6" s="30">
        <v>4</v>
      </c>
      <c r="B6" s="31">
        <v>4.7699999999999996</v>
      </c>
      <c r="C6" s="32">
        <v>8.44</v>
      </c>
      <c r="D6" s="32">
        <v>3.85</v>
      </c>
      <c r="E6" s="32">
        <v>5.47</v>
      </c>
      <c r="F6" s="32">
        <v>2.8</v>
      </c>
      <c r="G6" s="32">
        <v>6.66</v>
      </c>
      <c r="H6" s="33">
        <v>18.47</v>
      </c>
    </row>
    <row r="7" spans="1:8" x14ac:dyDescent="0.2">
      <c r="A7" s="30">
        <v>5</v>
      </c>
      <c r="B7" s="31">
        <v>5.24</v>
      </c>
      <c r="C7" s="32">
        <v>7.88</v>
      </c>
      <c r="D7" s="32">
        <v>5.89</v>
      </c>
      <c r="E7" s="32">
        <v>5.89</v>
      </c>
      <c r="F7" s="32">
        <v>3.44</v>
      </c>
      <c r="G7" s="32">
        <v>4.22</v>
      </c>
      <c r="H7" s="33">
        <v>19.12</v>
      </c>
    </row>
    <row r="8" spans="1:8" x14ac:dyDescent="0.2">
      <c r="A8" s="30">
        <v>6</v>
      </c>
      <c r="B8" s="31">
        <v>3.55</v>
      </c>
      <c r="C8" s="32">
        <v>8.33</v>
      </c>
      <c r="D8" s="32">
        <v>4.75</v>
      </c>
      <c r="E8" s="32">
        <v>5.92</v>
      </c>
      <c r="F8" s="32">
        <v>2.81</v>
      </c>
      <c r="G8" s="32">
        <v>5.21</v>
      </c>
      <c r="H8" s="33">
        <v>18.920000000000002</v>
      </c>
    </row>
    <row r="9" spans="1:8" x14ac:dyDescent="0.2">
      <c r="A9" s="30">
        <v>7</v>
      </c>
      <c r="B9" s="31">
        <v>4.5599999999999996</v>
      </c>
      <c r="C9" s="32">
        <v>8.2100000000000009</v>
      </c>
      <c r="D9" s="32">
        <v>3.69</v>
      </c>
      <c r="E9" s="32">
        <v>5.47</v>
      </c>
      <c r="F9" s="32">
        <v>3.44</v>
      </c>
      <c r="G9" s="32">
        <v>4.5</v>
      </c>
      <c r="H9" s="33">
        <v>19.53</v>
      </c>
    </row>
    <row r="10" spans="1:8" x14ac:dyDescent="0.2">
      <c r="A10" s="30">
        <v>8</v>
      </c>
      <c r="B10" s="31">
        <v>5.73</v>
      </c>
      <c r="C10" s="32">
        <v>8.65</v>
      </c>
      <c r="D10" s="32">
        <v>4.37</v>
      </c>
      <c r="E10" s="32">
        <v>4.29</v>
      </c>
      <c r="F10" s="32">
        <v>3.98</v>
      </c>
      <c r="G10" s="32">
        <v>5.34</v>
      </c>
      <c r="H10" s="33">
        <v>19.21</v>
      </c>
    </row>
    <row r="11" spans="1:8" x14ac:dyDescent="0.2">
      <c r="A11" s="30">
        <v>9</v>
      </c>
      <c r="B11" s="31">
        <v>5.83</v>
      </c>
      <c r="C11" s="32">
        <v>8.44</v>
      </c>
      <c r="D11" s="32">
        <v>4.7699999999999996</v>
      </c>
      <c r="E11" s="32">
        <v>5.89</v>
      </c>
      <c r="F11" s="32">
        <v>3.12</v>
      </c>
      <c r="G11" s="32">
        <v>5.8</v>
      </c>
      <c r="H11" s="33">
        <v>20.16</v>
      </c>
    </row>
    <row r="12" spans="1:8" x14ac:dyDescent="0.2">
      <c r="A12" s="30">
        <v>10</v>
      </c>
      <c r="B12" s="31">
        <v>4.3</v>
      </c>
      <c r="C12" s="32">
        <v>9.3800000000000008</v>
      </c>
      <c r="D12" s="32">
        <v>4.5599999999999996</v>
      </c>
      <c r="E12" s="32">
        <v>6.47</v>
      </c>
      <c r="F12" s="32">
        <v>3.45</v>
      </c>
      <c r="G12" s="32">
        <v>5.34</v>
      </c>
      <c r="H12" s="33">
        <v>19.54</v>
      </c>
    </row>
    <row r="13" spans="1:8" x14ac:dyDescent="0.2">
      <c r="A13" s="30">
        <v>11</v>
      </c>
      <c r="B13" s="31">
        <v>4.22</v>
      </c>
      <c r="C13" s="32">
        <v>8.2100000000000009</v>
      </c>
      <c r="D13" s="32">
        <v>4.5599999999999996</v>
      </c>
      <c r="E13" s="32">
        <v>4.99</v>
      </c>
      <c r="F13" s="32">
        <v>3.21</v>
      </c>
      <c r="G13" s="32">
        <v>4.01</v>
      </c>
      <c r="H13" s="33">
        <v>20.420000000000002</v>
      </c>
    </row>
    <row r="14" spans="1:8" x14ac:dyDescent="0.2">
      <c r="A14" s="30">
        <v>12</v>
      </c>
      <c r="B14" s="31">
        <v>5.24</v>
      </c>
      <c r="C14" s="32">
        <v>7.92</v>
      </c>
      <c r="D14" s="32">
        <v>5.55</v>
      </c>
      <c r="E14" s="32">
        <v>5.68</v>
      </c>
      <c r="F14" s="32">
        <v>4.6399999999999997</v>
      </c>
      <c r="G14" s="32">
        <v>5.26</v>
      </c>
      <c r="H14" s="33">
        <v>18.34</v>
      </c>
    </row>
    <row r="15" spans="1:8" x14ac:dyDescent="0.2">
      <c r="A15" s="30">
        <v>13</v>
      </c>
      <c r="B15" s="31">
        <v>4.51</v>
      </c>
      <c r="C15" s="32">
        <v>8.65</v>
      </c>
      <c r="D15" s="32">
        <v>4.1100000000000003</v>
      </c>
      <c r="E15" s="32">
        <v>4.99</v>
      </c>
      <c r="F15" s="32">
        <v>2.8</v>
      </c>
      <c r="G15" s="32">
        <v>6.74</v>
      </c>
      <c r="H15" s="33">
        <v>20.079999999999998</v>
      </c>
    </row>
    <row r="16" spans="1:8" x14ac:dyDescent="0.2">
      <c r="A16" s="30">
        <v>14</v>
      </c>
      <c r="B16" s="31">
        <v>4.71</v>
      </c>
      <c r="C16" s="32">
        <v>7.88</v>
      </c>
      <c r="D16" s="32">
        <v>5.08</v>
      </c>
      <c r="E16" s="32">
        <v>4.68</v>
      </c>
      <c r="F16" s="32">
        <v>2.15</v>
      </c>
      <c r="G16" s="32">
        <v>6.86</v>
      </c>
      <c r="H16" s="33">
        <v>19.16</v>
      </c>
    </row>
    <row r="17" spans="1:8" x14ac:dyDescent="0.2">
      <c r="A17" s="30">
        <v>15</v>
      </c>
      <c r="B17" s="31">
        <v>4.7699999999999996</v>
      </c>
      <c r="C17" s="32">
        <v>7.57</v>
      </c>
      <c r="D17" s="32">
        <v>5.9</v>
      </c>
      <c r="E17" s="32">
        <v>5.65</v>
      </c>
      <c r="F17" s="32">
        <v>3.4</v>
      </c>
      <c r="G17" s="32">
        <v>4.24</v>
      </c>
      <c r="H17" s="33">
        <v>19.309999999999999</v>
      </c>
    </row>
    <row r="18" spans="1:8" x14ac:dyDescent="0.2">
      <c r="A18" s="30">
        <v>16</v>
      </c>
      <c r="B18" s="31">
        <v>5.44</v>
      </c>
      <c r="C18" s="32">
        <v>8.42</v>
      </c>
      <c r="D18" s="32">
        <v>3.06</v>
      </c>
      <c r="E18" s="32">
        <v>4.1900000000000004</v>
      </c>
      <c r="F18" s="32">
        <v>4.41</v>
      </c>
      <c r="G18" s="32">
        <v>6.96</v>
      </c>
      <c r="H18" s="33">
        <v>20.54</v>
      </c>
    </row>
    <row r="19" spans="1:8" x14ac:dyDescent="0.2">
      <c r="A19" s="30">
        <v>17</v>
      </c>
      <c r="B19" s="31">
        <v>5.66</v>
      </c>
      <c r="C19" s="32">
        <v>7.61</v>
      </c>
      <c r="D19" s="32">
        <v>5.4</v>
      </c>
      <c r="E19" s="32">
        <v>4.29</v>
      </c>
      <c r="F19" s="32">
        <v>3.21</v>
      </c>
      <c r="G19" s="32">
        <v>6.54</v>
      </c>
      <c r="H19" s="33">
        <v>18.36</v>
      </c>
    </row>
    <row r="20" spans="1:8" x14ac:dyDescent="0.2">
      <c r="A20" s="30">
        <v>18</v>
      </c>
      <c r="B20" s="31">
        <v>3.51</v>
      </c>
      <c r="C20" s="32">
        <v>9.06</v>
      </c>
      <c r="D20" s="32">
        <v>4.8600000000000003</v>
      </c>
      <c r="E20" s="32">
        <v>4.41</v>
      </c>
      <c r="F20" s="32">
        <v>3.47</v>
      </c>
      <c r="G20" s="32">
        <v>5.74</v>
      </c>
      <c r="H20" s="33">
        <v>20.88</v>
      </c>
    </row>
    <row r="21" spans="1:8" x14ac:dyDescent="0.2">
      <c r="A21" s="30">
        <v>19</v>
      </c>
      <c r="B21" s="31">
        <v>5.85</v>
      </c>
      <c r="C21" s="32">
        <v>8.34</v>
      </c>
      <c r="D21" s="32">
        <v>5.47</v>
      </c>
      <c r="E21" s="32">
        <v>6.36</v>
      </c>
      <c r="F21" s="32">
        <v>3.49</v>
      </c>
      <c r="G21" s="32">
        <v>5.88</v>
      </c>
      <c r="H21" s="33">
        <v>18.57</v>
      </c>
    </row>
    <row r="22" spans="1:8" x14ac:dyDescent="0.2">
      <c r="A22" s="30">
        <v>20</v>
      </c>
      <c r="B22" s="31">
        <v>4.18</v>
      </c>
      <c r="C22" s="32">
        <v>7.69</v>
      </c>
      <c r="D22" s="32">
        <v>3.27</v>
      </c>
      <c r="E22" s="32">
        <v>5.59</v>
      </c>
      <c r="F22" s="32">
        <v>2.67</v>
      </c>
      <c r="G22" s="32">
        <v>4.28</v>
      </c>
      <c r="H22" s="33">
        <v>20.96</v>
      </c>
    </row>
    <row r="23" spans="1:8" x14ac:dyDescent="0.2">
      <c r="A23" s="30">
        <v>21</v>
      </c>
      <c r="B23" s="31">
        <v>5.03</v>
      </c>
      <c r="C23" s="32">
        <v>7.15</v>
      </c>
      <c r="D23" s="32">
        <v>4.7300000000000004</v>
      </c>
      <c r="E23" s="32">
        <v>6.6</v>
      </c>
      <c r="F23" s="32">
        <v>2.89</v>
      </c>
      <c r="G23" s="32">
        <v>5.96</v>
      </c>
      <c r="H23" s="33">
        <v>20.2</v>
      </c>
    </row>
    <row r="24" spans="1:8" x14ac:dyDescent="0.2">
      <c r="A24" s="30">
        <v>22</v>
      </c>
      <c r="B24" s="31">
        <v>4.99</v>
      </c>
      <c r="C24" s="32">
        <v>9.5500000000000007</v>
      </c>
      <c r="D24" s="32">
        <v>3.85</v>
      </c>
      <c r="E24" s="32">
        <v>6.88</v>
      </c>
      <c r="F24" s="32">
        <v>2.08</v>
      </c>
      <c r="G24" s="32">
        <v>4.01</v>
      </c>
      <c r="H24" s="33">
        <v>20.86</v>
      </c>
    </row>
    <row r="25" spans="1:8" x14ac:dyDescent="0.2">
      <c r="A25" s="30">
        <v>23</v>
      </c>
      <c r="B25" s="31">
        <v>4.62</v>
      </c>
      <c r="C25" s="32">
        <v>9.06</v>
      </c>
      <c r="D25" s="32">
        <v>3.53</v>
      </c>
      <c r="E25" s="32">
        <v>5.78</v>
      </c>
      <c r="F25" s="32">
        <v>4.47</v>
      </c>
      <c r="G25" s="32">
        <v>4.82</v>
      </c>
      <c r="H25" s="33">
        <v>19.55</v>
      </c>
    </row>
    <row r="26" spans="1:8" x14ac:dyDescent="0.2">
      <c r="A26" s="30">
        <v>24</v>
      </c>
      <c r="B26" s="31">
        <v>5.59</v>
      </c>
      <c r="C26" s="32">
        <v>8.82</v>
      </c>
      <c r="D26" s="32">
        <v>5.89</v>
      </c>
      <c r="E26" s="32">
        <v>6.62</v>
      </c>
      <c r="F26" s="32">
        <v>2.66</v>
      </c>
      <c r="G26" s="32">
        <v>4.92</v>
      </c>
      <c r="H26" s="33">
        <v>20.04</v>
      </c>
    </row>
    <row r="27" spans="1:8" x14ac:dyDescent="0.2">
      <c r="A27" s="30">
        <v>25</v>
      </c>
      <c r="B27" s="31">
        <v>3.83</v>
      </c>
      <c r="C27" s="32">
        <v>9.82</v>
      </c>
      <c r="D27" s="32">
        <v>5.93</v>
      </c>
      <c r="E27" s="32">
        <v>6.25</v>
      </c>
      <c r="F27" s="32">
        <v>3.98</v>
      </c>
      <c r="G27" s="32">
        <v>5.94</v>
      </c>
      <c r="H27" s="33">
        <v>18.34</v>
      </c>
    </row>
    <row r="28" spans="1:8" x14ac:dyDescent="0.2">
      <c r="A28" s="30">
        <v>26</v>
      </c>
      <c r="B28" s="31">
        <v>3.27</v>
      </c>
      <c r="C28" s="32">
        <v>7.31</v>
      </c>
      <c r="D28" s="32">
        <v>5.63</v>
      </c>
      <c r="E28" s="32">
        <v>4.68</v>
      </c>
      <c r="F28" s="32">
        <v>3.12</v>
      </c>
      <c r="G28" s="32">
        <v>5.74</v>
      </c>
      <c r="H28" s="33">
        <v>18.22</v>
      </c>
    </row>
    <row r="29" spans="1:8" x14ac:dyDescent="0.2">
      <c r="A29" s="30">
        <v>27</v>
      </c>
      <c r="B29" s="31">
        <v>5.28</v>
      </c>
      <c r="C29" s="32">
        <v>9.99</v>
      </c>
      <c r="D29" s="32">
        <v>3.06</v>
      </c>
      <c r="E29" s="32">
        <v>4.17</v>
      </c>
      <c r="F29" s="32">
        <v>4.3099999999999996</v>
      </c>
      <c r="G29" s="32">
        <v>4.3899999999999997</v>
      </c>
      <c r="H29" s="33">
        <v>19.75</v>
      </c>
    </row>
    <row r="30" spans="1:8" x14ac:dyDescent="0.2">
      <c r="A30" s="30">
        <v>28</v>
      </c>
      <c r="B30" s="31">
        <v>4.6900000000000004</v>
      </c>
      <c r="C30" s="32">
        <v>9.42</v>
      </c>
      <c r="D30" s="32">
        <v>4.34</v>
      </c>
      <c r="E30" s="32">
        <v>4.37</v>
      </c>
      <c r="F30" s="32">
        <v>2.5099999999999998</v>
      </c>
      <c r="G30" s="32">
        <v>5.6</v>
      </c>
      <c r="H30" s="33">
        <v>19.28</v>
      </c>
    </row>
    <row r="31" spans="1:8" x14ac:dyDescent="0.2">
      <c r="A31" s="30">
        <v>29</v>
      </c>
      <c r="B31" s="31">
        <v>3.27</v>
      </c>
      <c r="C31" s="32">
        <v>7.19</v>
      </c>
      <c r="D31" s="32">
        <v>4.37</v>
      </c>
      <c r="E31" s="32">
        <v>4.43</v>
      </c>
      <c r="F31" s="32">
        <v>2.16</v>
      </c>
      <c r="G31" s="32">
        <v>5.12</v>
      </c>
      <c r="H31" s="33">
        <v>18.27</v>
      </c>
    </row>
    <row r="32" spans="1:8" x14ac:dyDescent="0.2">
      <c r="A32" s="30">
        <v>30</v>
      </c>
      <c r="B32" s="31">
        <v>4.72</v>
      </c>
      <c r="C32" s="32">
        <v>9.2799999999999994</v>
      </c>
      <c r="D32" s="32">
        <v>4.9400000000000004</v>
      </c>
      <c r="E32" s="32">
        <v>6.05</v>
      </c>
      <c r="F32" s="32">
        <v>4.78</v>
      </c>
      <c r="G32" s="32">
        <v>4.75</v>
      </c>
      <c r="H32" s="33">
        <v>20.72</v>
      </c>
    </row>
    <row r="33" spans="1:8" x14ac:dyDescent="0.2">
      <c r="A33" s="30">
        <v>31</v>
      </c>
      <c r="B33" s="31">
        <v>4.6500000000000004</v>
      </c>
      <c r="C33" s="32">
        <v>7.31</v>
      </c>
      <c r="D33" s="32">
        <v>3.54</v>
      </c>
      <c r="E33" s="32">
        <v>5.64</v>
      </c>
      <c r="F33" s="32">
        <v>2.33</v>
      </c>
      <c r="G33" s="32">
        <v>4.1500000000000004</v>
      </c>
      <c r="H33" s="33">
        <v>18.579999999999998</v>
      </c>
    </row>
    <row r="34" spans="1:8" x14ac:dyDescent="0.2">
      <c r="A34" s="30">
        <v>32</v>
      </c>
      <c r="B34" s="31">
        <v>5.73</v>
      </c>
      <c r="C34" s="32">
        <v>8.27</v>
      </c>
      <c r="D34" s="32">
        <v>3.69</v>
      </c>
      <c r="E34" s="32">
        <v>4.3600000000000003</v>
      </c>
      <c r="F34" s="32">
        <v>2.46</v>
      </c>
      <c r="G34" s="32">
        <v>6.51</v>
      </c>
      <c r="H34" s="33">
        <v>18.82</v>
      </c>
    </row>
    <row r="35" spans="1:8" x14ac:dyDescent="0.2">
      <c r="A35" s="30">
        <v>33</v>
      </c>
      <c r="B35" s="31">
        <v>4.38</v>
      </c>
      <c r="C35" s="32">
        <v>9.51</v>
      </c>
      <c r="D35" s="32">
        <v>4.8099999999999996</v>
      </c>
      <c r="E35" s="32">
        <v>4.21</v>
      </c>
      <c r="F35" s="32">
        <v>4.79</v>
      </c>
      <c r="G35" s="32">
        <v>5.35</v>
      </c>
      <c r="H35" s="33">
        <v>19.850000000000001</v>
      </c>
    </row>
    <row r="36" spans="1:8" x14ac:dyDescent="0.2">
      <c r="A36" s="30">
        <v>34</v>
      </c>
      <c r="B36" s="31">
        <v>4.9800000000000004</v>
      </c>
      <c r="C36" s="32">
        <v>7.19</v>
      </c>
      <c r="D36" s="32">
        <v>3.3</v>
      </c>
      <c r="E36" s="32">
        <v>5.47</v>
      </c>
      <c r="F36" s="32">
        <v>3.92</v>
      </c>
      <c r="G36" s="32">
        <v>4.37</v>
      </c>
      <c r="H36" s="33">
        <v>18.79</v>
      </c>
    </row>
    <row r="37" spans="1:8" x14ac:dyDescent="0.2">
      <c r="A37" s="34">
        <v>35</v>
      </c>
      <c r="B37" s="35">
        <v>5.6</v>
      </c>
      <c r="C37" s="36">
        <v>7.53</v>
      </c>
      <c r="D37" s="36">
        <v>5.63</v>
      </c>
      <c r="E37" s="36">
        <v>4.76</v>
      </c>
      <c r="F37" s="36">
        <v>3.06</v>
      </c>
      <c r="G37" s="36">
        <v>4.22</v>
      </c>
      <c r="H37" s="37">
        <v>19.670000000000002</v>
      </c>
    </row>
    <row r="38" spans="1:8" x14ac:dyDescent="0.2">
      <c r="H38" s="38"/>
    </row>
  </sheetData>
  <sortState xmlns:xlrd2="http://schemas.microsoft.com/office/spreadsheetml/2017/richdata2" ref="A3:H37">
    <sortCondition ref="A3:A37"/>
  </sortState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BUDGET</vt:lpstr>
      <vt:lpstr>TREND CHART</vt:lpstr>
      <vt:lpstr>DISTRIBUTION</vt:lpstr>
      <vt:lpstr>SOLVER</vt:lpstr>
      <vt:lpstr>SALES</vt:lpstr>
      <vt:lpstr>PIVOT TABLE</vt:lpstr>
      <vt:lpstr>GROUP ASSIGNMENTS</vt:lpstr>
      <vt:lpstr>ASSUMPT</vt:lpstr>
      <vt:lpstr>BUDGET!Print_Area</vt:lpstr>
      <vt:lpstr>'TREND CHART'!Print_Area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verif</dc:creator>
  <cp:lastModifiedBy>Aman Mohammad</cp:lastModifiedBy>
  <cp:lastPrinted>2023-11-08T00:00:41Z</cp:lastPrinted>
  <dcterms:created xsi:type="dcterms:W3CDTF">2022-01-27T04:36:00Z</dcterms:created>
  <dcterms:modified xsi:type="dcterms:W3CDTF">2026-07-17T23:54:14Z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5E3D4955E62747A6B5C2FD2180BB8206_13</vt:lpwstr>
  </property>
  <property fmtid="{D5CDD505-2E9C-101B-9397-08002B2CF9AE}" pid="3" name="KSOProductBuildVer">
    <vt:lpwstr>1033-12.2.0.13110</vt:lpwstr>
  </property>
</Properties>
</file>